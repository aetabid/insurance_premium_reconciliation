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man\OneDrive\Documents\GitHub\insurance_premium_reconciliation\Excel\"/>
    </mc:Choice>
  </mc:AlternateContent>
  <xr:revisionPtr revIDLastSave="0" documentId="13_ncr:9_{A7845AAD-A2F3-4AB7-9C5E-07793B309ACA}" xr6:coauthVersionLast="47" xr6:coauthVersionMax="47" xr10:uidLastSave="{00000000-0000-0000-0000-000000000000}"/>
  <bookViews>
    <workbookView xWindow="25500" yWindow="0" windowWidth="25800" windowHeight="20985" xr2:uid="{7406598B-4B6B-4E04-B90A-ECAC9ADD75DE}"/>
  </bookViews>
  <sheets>
    <sheet name="Aging Summary" sheetId="3" r:id="rId1"/>
    <sheet name="reconciliation" sheetId="1" r:id="rId2"/>
    <sheet name="agencies" sheetId="2" r:id="rId3"/>
  </sheets>
  <calcPr calcId="0"/>
  <pivotCaches>
    <pivotCache cacheId="4" r:id="rId4"/>
  </pivotCaches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2" i="1"/>
</calcChain>
</file>

<file path=xl/sharedStrings.xml><?xml version="1.0" encoding="utf-8"?>
<sst xmlns="http://schemas.openxmlformats.org/spreadsheetml/2006/main" count="1131" uniqueCount="250">
  <si>
    <t>invoice_id</t>
  </si>
  <si>
    <t>policy_number</t>
  </si>
  <si>
    <t>agency_id</t>
  </si>
  <si>
    <t>invoice_date</t>
  </si>
  <si>
    <t>premium_billed</t>
  </si>
  <si>
    <t>due_date</t>
  </si>
  <si>
    <t>profile</t>
  </si>
  <si>
    <t>scenario</t>
  </si>
  <si>
    <t>payment_amount</t>
  </si>
  <si>
    <t>balance</t>
  </si>
  <si>
    <t>status</t>
  </si>
  <si>
    <t>days_past_due</t>
  </si>
  <si>
    <t>aging_bucket</t>
  </si>
  <si>
    <t>INV-0001</t>
  </si>
  <si>
    <t>POL-1000</t>
  </si>
  <si>
    <t>A01</t>
  </si>
  <si>
    <t>reliable</t>
  </si>
  <si>
    <t>late</t>
  </si>
  <si>
    <t>Paid</t>
  </si>
  <si>
    <t>INV-0002</t>
  </si>
  <si>
    <t>on_time</t>
  </si>
  <si>
    <t>INV-0003</t>
  </si>
  <si>
    <t>INV-0004</t>
  </si>
  <si>
    <t>POL-1001</t>
  </si>
  <si>
    <t>A08</t>
  </si>
  <si>
    <t>slow</t>
  </si>
  <si>
    <t>short</t>
  </si>
  <si>
    <t>Past Due</t>
  </si>
  <si>
    <t>60+ Days</t>
  </si>
  <si>
    <t>INV-0005</t>
  </si>
  <si>
    <t>INV-0006</t>
  </si>
  <si>
    <t>1-30 Days</t>
  </si>
  <si>
    <t>INV-0007</t>
  </si>
  <si>
    <t>POL-1002</t>
  </si>
  <si>
    <t>A07</t>
  </si>
  <si>
    <t>INV-0008</t>
  </si>
  <si>
    <t>INV-0009</t>
  </si>
  <si>
    <t>INV-0010</t>
  </si>
  <si>
    <t>POL-1003</t>
  </si>
  <si>
    <t>A05</t>
  </si>
  <si>
    <t>INV-0011</t>
  </si>
  <si>
    <t>INV-0012</t>
  </si>
  <si>
    <t>INV-0013</t>
  </si>
  <si>
    <t>POL-1004</t>
  </si>
  <si>
    <t>INV-0014</t>
  </si>
  <si>
    <t>INV-0015</t>
  </si>
  <si>
    <t>INV-0016</t>
  </si>
  <si>
    <t>POL-1005</t>
  </si>
  <si>
    <t>A09</t>
  </si>
  <si>
    <t>problem</t>
  </si>
  <si>
    <t>INV-0017</t>
  </si>
  <si>
    <t>31-60 Days</t>
  </si>
  <si>
    <t>INV-0018</t>
  </si>
  <si>
    <t>INV-0019</t>
  </si>
  <si>
    <t>POL-1006</t>
  </si>
  <si>
    <t>INV-0020</t>
  </si>
  <si>
    <t>INV-0021</t>
  </si>
  <si>
    <t>INV-0022</t>
  </si>
  <si>
    <t>POL-1007</t>
  </si>
  <si>
    <t>INV-0023</t>
  </si>
  <si>
    <t>INV-0024</t>
  </si>
  <si>
    <t>INV-0025</t>
  </si>
  <si>
    <t>POL-1008</t>
  </si>
  <si>
    <t>A03</t>
  </si>
  <si>
    <t>INV-0026</t>
  </si>
  <si>
    <t>INV-0027</t>
  </si>
  <si>
    <t>INV-0028</t>
  </si>
  <si>
    <t>POL-1009</t>
  </si>
  <si>
    <t>INV-0029</t>
  </si>
  <si>
    <t>INV-0030</t>
  </si>
  <si>
    <t>INV-0031</t>
  </si>
  <si>
    <t>POL-1010</t>
  </si>
  <si>
    <t>A06</t>
  </si>
  <si>
    <t>INV-0032</t>
  </si>
  <si>
    <t>INV-0033</t>
  </si>
  <si>
    <t>INV-0034</t>
  </si>
  <si>
    <t>POL-1011</t>
  </si>
  <si>
    <t>A10</t>
  </si>
  <si>
    <t>INV-0035</t>
  </si>
  <si>
    <t>INV-0036</t>
  </si>
  <si>
    <t>INV-0037</t>
  </si>
  <si>
    <t>POL-1012</t>
  </si>
  <si>
    <t>INV-0038</t>
  </si>
  <si>
    <t>INV-0039</t>
  </si>
  <si>
    <t>INV-0040</t>
  </si>
  <si>
    <t>POL-1013</t>
  </si>
  <si>
    <t>INV-0041</t>
  </si>
  <si>
    <t>INV-0042</t>
  </si>
  <si>
    <t>INV-0043</t>
  </si>
  <si>
    <t>POL-1014</t>
  </si>
  <si>
    <t>INV-0044</t>
  </si>
  <si>
    <t>INV-0045</t>
  </si>
  <si>
    <t>INV-0046</t>
  </si>
  <si>
    <t>POL-1015</t>
  </si>
  <si>
    <t>INV-0047</t>
  </si>
  <si>
    <t>INV-0048</t>
  </si>
  <si>
    <t>INV-0049</t>
  </si>
  <si>
    <t>POL-1016</t>
  </si>
  <si>
    <t>INV-0050</t>
  </si>
  <si>
    <t>INV-0051</t>
  </si>
  <si>
    <t>INV-0052</t>
  </si>
  <si>
    <t>POL-1017</t>
  </si>
  <si>
    <t>A02</t>
  </si>
  <si>
    <t>INV-0053</t>
  </si>
  <si>
    <t>INV-0054</t>
  </si>
  <si>
    <t>INV-0055</t>
  </si>
  <si>
    <t>POL-1018</t>
  </si>
  <si>
    <t>INV-0056</t>
  </si>
  <si>
    <t>INV-0057</t>
  </si>
  <si>
    <t>INV-0058</t>
  </si>
  <si>
    <t>POL-1019</t>
  </si>
  <si>
    <t>INV-0059</t>
  </si>
  <si>
    <t>INV-0060</t>
  </si>
  <si>
    <t>INV-0061</t>
  </si>
  <si>
    <t>POL-1020</t>
  </si>
  <si>
    <t>INV-0062</t>
  </si>
  <si>
    <t>INV-0063</t>
  </si>
  <si>
    <t>INV-0064</t>
  </si>
  <si>
    <t>POL-1021</t>
  </si>
  <si>
    <t>A04</t>
  </si>
  <si>
    <t>INV-0065</t>
  </si>
  <si>
    <t>INV-0066</t>
  </si>
  <si>
    <t>INV-0067</t>
  </si>
  <si>
    <t>POL-1022</t>
  </si>
  <si>
    <t>INV-0068</t>
  </si>
  <si>
    <t>INV-0069</t>
  </si>
  <si>
    <t>INV-0070</t>
  </si>
  <si>
    <t>POL-1023</t>
  </si>
  <si>
    <t>INV-0071</t>
  </si>
  <si>
    <t>INV-0072</t>
  </si>
  <si>
    <t>INV-0073</t>
  </si>
  <si>
    <t>POL-1024</t>
  </si>
  <si>
    <t>INV-0074</t>
  </si>
  <si>
    <t>INV-0075</t>
  </si>
  <si>
    <t>INV-0076</t>
  </si>
  <si>
    <t>POL-1025</t>
  </si>
  <si>
    <t>INV-0077</t>
  </si>
  <si>
    <t>INV-0078</t>
  </si>
  <si>
    <t>INV-0079</t>
  </si>
  <si>
    <t>POL-1026</t>
  </si>
  <si>
    <t>INV-0080</t>
  </si>
  <si>
    <t>INV-0081</t>
  </si>
  <si>
    <t>INV-0082</t>
  </si>
  <si>
    <t>POL-1027</t>
  </si>
  <si>
    <t>INV-0083</t>
  </si>
  <si>
    <t>INV-0084</t>
  </si>
  <si>
    <t>INV-0085</t>
  </si>
  <si>
    <t>POL-1028</t>
  </si>
  <si>
    <t>INV-0086</t>
  </si>
  <si>
    <t>INV-0087</t>
  </si>
  <si>
    <t>INV-0088</t>
  </si>
  <si>
    <t>POL-1029</t>
  </si>
  <si>
    <t>INV-0089</t>
  </si>
  <si>
    <t>INV-0090</t>
  </si>
  <si>
    <t>INV-0091</t>
  </si>
  <si>
    <t>POL-1030</t>
  </si>
  <si>
    <t>INV-0092</t>
  </si>
  <si>
    <t>INV-0093</t>
  </si>
  <si>
    <t>INV-0094</t>
  </si>
  <si>
    <t>POL-1031</t>
  </si>
  <si>
    <t>INV-0095</t>
  </si>
  <si>
    <t>INV-0096</t>
  </si>
  <si>
    <t>INV-0097</t>
  </si>
  <si>
    <t>POL-1032</t>
  </si>
  <si>
    <t>INV-0098</t>
  </si>
  <si>
    <t>INV-0099</t>
  </si>
  <si>
    <t>INV-0100</t>
  </si>
  <si>
    <t>POL-1033</t>
  </si>
  <si>
    <t>INV-0101</t>
  </si>
  <si>
    <t>INV-0102</t>
  </si>
  <si>
    <t>INV-0103</t>
  </si>
  <si>
    <t>POL-1034</t>
  </si>
  <si>
    <t>INV-0104</t>
  </si>
  <si>
    <t>INV-0105</t>
  </si>
  <si>
    <t>INV-0106</t>
  </si>
  <si>
    <t>POL-1035</t>
  </si>
  <si>
    <t>INV-0107</t>
  </si>
  <si>
    <t>INV-0108</t>
  </si>
  <si>
    <t>INV-0109</t>
  </si>
  <si>
    <t>POL-1036</t>
  </si>
  <si>
    <t>INV-0110</t>
  </si>
  <si>
    <t>INV-0111</t>
  </si>
  <si>
    <t>INV-0112</t>
  </si>
  <si>
    <t>POL-1037</t>
  </si>
  <si>
    <t>INV-0113</t>
  </si>
  <si>
    <t>INV-0114</t>
  </si>
  <si>
    <t>INV-0115</t>
  </si>
  <si>
    <t>POL-1038</t>
  </si>
  <si>
    <t>INV-0116</t>
  </si>
  <si>
    <t>INV-0117</t>
  </si>
  <si>
    <t>INV-0118</t>
  </si>
  <si>
    <t>POL-1039</t>
  </si>
  <si>
    <t>INV-0119</t>
  </si>
  <si>
    <t>INV-0120</t>
  </si>
  <si>
    <t>INV-0121</t>
  </si>
  <si>
    <t>POL-1040</t>
  </si>
  <si>
    <t>INV-0122</t>
  </si>
  <si>
    <t>INV-0123</t>
  </si>
  <si>
    <t>INV-0124</t>
  </si>
  <si>
    <t>POL-1041</t>
  </si>
  <si>
    <t>INV-0125</t>
  </si>
  <si>
    <t>INV-0126</t>
  </si>
  <si>
    <t>INV-0127</t>
  </si>
  <si>
    <t>POL-1042</t>
  </si>
  <si>
    <t>INV-0128</t>
  </si>
  <si>
    <t>INV-0129</t>
  </si>
  <si>
    <t>INV-0130</t>
  </si>
  <si>
    <t>POL-1043</t>
  </si>
  <si>
    <t>INV-0131</t>
  </si>
  <si>
    <t>INV-0132</t>
  </si>
  <si>
    <t>INV-0133</t>
  </si>
  <si>
    <t>POL-1044</t>
  </si>
  <si>
    <t>INV-0134</t>
  </si>
  <si>
    <t>INV-0135</t>
  </si>
  <si>
    <t>INV-0136</t>
  </si>
  <si>
    <t>POL-1045</t>
  </si>
  <si>
    <t>INV-0137</t>
  </si>
  <si>
    <t>INV-0138</t>
  </si>
  <si>
    <t>INV-0139</t>
  </si>
  <si>
    <t>POL-1046</t>
  </si>
  <si>
    <t>INV-0140</t>
  </si>
  <si>
    <t>INV-0141</t>
  </si>
  <si>
    <t>INV-0142</t>
  </si>
  <si>
    <t>POL-1047</t>
  </si>
  <si>
    <t>INV-0143</t>
  </si>
  <si>
    <t>INV-0144</t>
  </si>
  <si>
    <t>INV-0145</t>
  </si>
  <si>
    <t>POL-1048</t>
  </si>
  <si>
    <t>INV-0146</t>
  </si>
  <si>
    <t>INV-0147</t>
  </si>
  <si>
    <t>INV-0148</t>
  </si>
  <si>
    <t>POL-1049</t>
  </si>
  <si>
    <t>INV-0149</t>
  </si>
  <si>
    <t>INV-0150</t>
  </si>
  <si>
    <t>agency_name</t>
  </si>
  <si>
    <t>payment_profile</t>
  </si>
  <si>
    <t>Summit Insurance Group</t>
  </si>
  <si>
    <t>Harbor Risk Advisors</t>
  </si>
  <si>
    <t>Liberty Insurance Agency</t>
  </si>
  <si>
    <t>Keystone Benefits &amp; Risk</t>
  </si>
  <si>
    <t>Pioneer Underwriters</t>
  </si>
  <si>
    <t>Cardinal Insurance Group</t>
  </si>
  <si>
    <t>Bayview Risk Advisors</t>
  </si>
  <si>
    <t>Ironwood Insurance Agency</t>
  </si>
  <si>
    <t>Sterling Benefits &amp; Risk</t>
  </si>
  <si>
    <t>Northgate Underwriters</t>
  </si>
  <si>
    <t>Row Labels</t>
  </si>
  <si>
    <t>Grand Total</t>
  </si>
  <si>
    <t>Sum of balance</t>
  </si>
  <si>
    <t>Count of invoice_id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</si>
</sst>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man tabidi" refreshedDate="46283.698569675929" createdVersion="8" refreshedVersion="8" minRefreshableVersion="3" recordCount="150" xr:uid="{161AACB1-92A9-4FBE-B4E7-744CB83CA8C0}">
  <cacheSource type="worksheet">
    <worksheetSource ref="A1:N151" sheet="reconciliation"/>
  </cacheSource>
  <cacheFields count="14">
    <cacheField name="invoice_id" numFmtId="0">
      <sharedItems/>
    </cacheField>
    <cacheField name="policy_number" numFmtId="0">
      <sharedItems/>
    </cacheField>
    <cacheField name="agency_id" numFmtId="0">
      <sharedItems/>
    </cacheField>
    <cacheField name="invoice_date" numFmtId="14">
      <sharedItems containsSemiMixedTypes="0" containsNonDate="0" containsDate="1" containsString="0" minDate="2026-06-01T00:00:00" maxDate="2026-08-02T00:00:00"/>
    </cacheField>
    <cacheField name="premium_billed" numFmtId="0">
      <sharedItems containsSemiMixedTypes="0" containsString="0" containsNumber="1" minValue="533.16999999999996" maxValue="4828.5"/>
    </cacheField>
    <cacheField name="due_date" numFmtId="14">
      <sharedItems containsSemiMixedTypes="0" containsNonDate="0" containsDate="1" containsString="0" minDate="2026-07-01T00:00:00" maxDate="2026-09-01T00:00:00"/>
    </cacheField>
    <cacheField name="profile" numFmtId="0">
      <sharedItems/>
    </cacheField>
    <cacheField name="scenario" numFmtId="0">
      <sharedItems/>
    </cacheField>
    <cacheField name="payment_amount" numFmtId="0">
      <sharedItems containsSemiMixedTypes="0" containsString="0" containsNumber="1" minValue="0" maxValue="4828.5"/>
    </cacheField>
    <cacheField name="balance" numFmtId="0">
      <sharedItems containsSemiMixedTypes="0" containsString="0" containsNumber="1" minValue="0" maxValue="4828.5"/>
    </cacheField>
    <cacheField name="status" numFmtId="0">
      <sharedItems/>
    </cacheField>
    <cacheField name="days_past_due" numFmtId="0">
      <sharedItems containsSemiMixedTypes="0" containsString="0" containsNumber="1" containsInteger="1" minValue="15" maxValue="76"/>
    </cacheField>
    <cacheField name="aging_bucket" numFmtId="0">
      <sharedItems count="4">
        <s v="Paid"/>
        <s v="60+ Days"/>
        <s v="1-30 Days"/>
        <s v="31-60 Days"/>
      </sharedItems>
    </cacheField>
    <cacheField name="agency_name" numFmtId="0">
      <sharedItems count="10">
        <s v="Summit Insurance Group"/>
        <s v="Ironwood Insurance Agency"/>
        <s v="Bayview Risk Advisors"/>
        <s v="Pioneer Underwriters"/>
        <s v="Sterling Benefits &amp; Risk"/>
        <s v="Liberty Insurance Agency"/>
        <s v="Cardinal Insurance Group"/>
        <s v="Northgate Underwriters"/>
        <s v="Harbor Risk Advisors"/>
        <s v="Keystone Benefits &amp; Ris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INV-0001"/>
    <s v="POL-1000"/>
    <s v="A01"/>
    <d v="2026-06-01T00:00:00"/>
    <n v="1399.58"/>
    <d v="2026-07-01T00:00:00"/>
    <s v="reliable"/>
    <s v="late"/>
    <n v="1399.58"/>
    <n v="0"/>
    <s v="Paid"/>
    <n v="76"/>
    <x v="0"/>
    <x v="0"/>
  </r>
  <r>
    <s v="INV-0002"/>
    <s v="POL-1000"/>
    <s v="A01"/>
    <d v="2026-07-01T00:00:00"/>
    <n v="1399.58"/>
    <d v="2026-07-31T00:00:00"/>
    <s v="reliable"/>
    <s v="on_time"/>
    <n v="1399.58"/>
    <n v="0"/>
    <s v="Paid"/>
    <n v="46"/>
    <x v="0"/>
    <x v="0"/>
  </r>
  <r>
    <s v="INV-0003"/>
    <s v="POL-1000"/>
    <s v="A01"/>
    <d v="2026-08-01T00:00:00"/>
    <n v="1399.58"/>
    <d v="2026-08-31T00:00:00"/>
    <s v="reliable"/>
    <s v="on_time"/>
    <n v="1399.58"/>
    <n v="0"/>
    <s v="Paid"/>
    <n v="15"/>
    <x v="0"/>
    <x v="0"/>
  </r>
  <r>
    <s v="INV-0004"/>
    <s v="POL-1001"/>
    <s v="A08"/>
    <d v="2026-06-01T00:00:00"/>
    <n v="533.16999999999996"/>
    <d v="2026-07-01T00:00:00"/>
    <s v="slow"/>
    <s v="short"/>
    <n v="392.5"/>
    <n v="140.66999999999999"/>
    <s v="Past Due"/>
    <n v="76"/>
    <x v="1"/>
    <x v="1"/>
  </r>
  <r>
    <s v="INV-0005"/>
    <s v="POL-1001"/>
    <s v="A08"/>
    <d v="2026-07-01T00:00:00"/>
    <n v="533.16999999999996"/>
    <d v="2026-07-31T00:00:00"/>
    <s v="slow"/>
    <s v="late"/>
    <n v="533.16999999999996"/>
    <n v="0"/>
    <s v="Paid"/>
    <n v="46"/>
    <x v="0"/>
    <x v="1"/>
  </r>
  <r>
    <s v="INV-0006"/>
    <s v="POL-1001"/>
    <s v="A08"/>
    <d v="2026-08-01T00:00:00"/>
    <n v="533.16999999999996"/>
    <d v="2026-08-31T00:00:00"/>
    <s v="slow"/>
    <s v="late"/>
    <n v="0"/>
    <n v="533.16999999999996"/>
    <s v="Past Due"/>
    <n v="15"/>
    <x v="2"/>
    <x v="1"/>
  </r>
  <r>
    <s v="INV-0007"/>
    <s v="POL-1002"/>
    <s v="A07"/>
    <d v="2026-06-01T00:00:00"/>
    <n v="4041.17"/>
    <d v="2026-07-01T00:00:00"/>
    <s v="slow"/>
    <s v="late"/>
    <n v="4041.17"/>
    <n v="0"/>
    <s v="Paid"/>
    <n v="76"/>
    <x v="0"/>
    <x v="2"/>
  </r>
  <r>
    <s v="INV-0008"/>
    <s v="POL-1002"/>
    <s v="A07"/>
    <d v="2026-07-01T00:00:00"/>
    <n v="4041.17"/>
    <d v="2026-07-31T00:00:00"/>
    <s v="slow"/>
    <s v="on_time"/>
    <n v="4041.17"/>
    <n v="0"/>
    <s v="Paid"/>
    <n v="46"/>
    <x v="0"/>
    <x v="2"/>
  </r>
  <r>
    <s v="INV-0009"/>
    <s v="POL-1002"/>
    <s v="A07"/>
    <d v="2026-08-01T00:00:00"/>
    <n v="4041.17"/>
    <d v="2026-08-31T00:00:00"/>
    <s v="slow"/>
    <s v="on_time"/>
    <n v="4041.17"/>
    <n v="0"/>
    <s v="Paid"/>
    <n v="15"/>
    <x v="0"/>
    <x v="2"/>
  </r>
  <r>
    <s v="INV-0010"/>
    <s v="POL-1003"/>
    <s v="A05"/>
    <d v="2026-06-01T00:00:00"/>
    <n v="3491.83"/>
    <d v="2026-07-01T00:00:00"/>
    <s v="reliable"/>
    <s v="late"/>
    <n v="3491.83"/>
    <n v="0"/>
    <s v="Paid"/>
    <n v="76"/>
    <x v="0"/>
    <x v="3"/>
  </r>
  <r>
    <s v="INV-0011"/>
    <s v="POL-1003"/>
    <s v="A05"/>
    <d v="2026-07-01T00:00:00"/>
    <n v="3491.83"/>
    <d v="2026-07-31T00:00:00"/>
    <s v="reliable"/>
    <s v="on_time"/>
    <n v="3491.83"/>
    <n v="0"/>
    <s v="Paid"/>
    <n v="46"/>
    <x v="0"/>
    <x v="3"/>
  </r>
  <r>
    <s v="INV-0012"/>
    <s v="POL-1003"/>
    <s v="A05"/>
    <d v="2026-08-01T00:00:00"/>
    <n v="3491.83"/>
    <d v="2026-08-31T00:00:00"/>
    <s v="reliable"/>
    <s v="on_time"/>
    <n v="3491.83"/>
    <n v="0"/>
    <s v="Paid"/>
    <n v="15"/>
    <x v="0"/>
    <x v="3"/>
  </r>
  <r>
    <s v="INV-0013"/>
    <s v="POL-1004"/>
    <s v="A05"/>
    <d v="2026-06-01T00:00:00"/>
    <n v="3673.25"/>
    <d v="2026-07-01T00:00:00"/>
    <s v="reliable"/>
    <s v="on_time"/>
    <n v="3673.25"/>
    <n v="0"/>
    <s v="Paid"/>
    <n v="76"/>
    <x v="0"/>
    <x v="3"/>
  </r>
  <r>
    <s v="INV-0014"/>
    <s v="POL-1004"/>
    <s v="A05"/>
    <d v="2026-07-01T00:00:00"/>
    <n v="3673.25"/>
    <d v="2026-07-31T00:00:00"/>
    <s v="reliable"/>
    <s v="on_time"/>
    <n v="3673.25"/>
    <n v="0"/>
    <s v="Paid"/>
    <n v="46"/>
    <x v="0"/>
    <x v="3"/>
  </r>
  <r>
    <s v="INV-0015"/>
    <s v="POL-1004"/>
    <s v="A05"/>
    <d v="2026-08-01T00:00:00"/>
    <n v="3673.25"/>
    <d v="2026-08-31T00:00:00"/>
    <s v="reliable"/>
    <s v="on_time"/>
    <n v="3673.25"/>
    <n v="0"/>
    <s v="Paid"/>
    <n v="15"/>
    <x v="0"/>
    <x v="3"/>
  </r>
  <r>
    <s v="INV-0016"/>
    <s v="POL-1005"/>
    <s v="A09"/>
    <d v="2026-06-01T00:00:00"/>
    <n v="4013.25"/>
    <d v="2026-07-01T00:00:00"/>
    <s v="problem"/>
    <s v="short"/>
    <n v="3123.63"/>
    <n v="889.62"/>
    <s v="Past Due"/>
    <n v="76"/>
    <x v="1"/>
    <x v="4"/>
  </r>
  <r>
    <s v="INV-0017"/>
    <s v="POL-1005"/>
    <s v="A09"/>
    <d v="2026-07-01T00:00:00"/>
    <n v="4013.25"/>
    <d v="2026-07-31T00:00:00"/>
    <s v="problem"/>
    <s v="short"/>
    <n v="3400.83"/>
    <n v="612.41999999999996"/>
    <s v="Past Due"/>
    <n v="46"/>
    <x v="3"/>
    <x v="4"/>
  </r>
  <r>
    <s v="INV-0018"/>
    <s v="POL-1005"/>
    <s v="A09"/>
    <d v="2026-08-01T00:00:00"/>
    <n v="4013.25"/>
    <d v="2026-08-31T00:00:00"/>
    <s v="problem"/>
    <s v="short"/>
    <n v="2781.59"/>
    <n v="1231.6600000000001"/>
    <s v="Past Due"/>
    <n v="15"/>
    <x v="2"/>
    <x v="4"/>
  </r>
  <r>
    <s v="INV-0019"/>
    <s v="POL-1006"/>
    <s v="A01"/>
    <d v="2026-06-01T00:00:00"/>
    <n v="2565.08"/>
    <d v="2026-07-01T00:00:00"/>
    <s v="reliable"/>
    <s v="on_time"/>
    <n v="2565.08"/>
    <n v="0"/>
    <s v="Paid"/>
    <n v="76"/>
    <x v="0"/>
    <x v="0"/>
  </r>
  <r>
    <s v="INV-0020"/>
    <s v="POL-1006"/>
    <s v="A01"/>
    <d v="2026-07-01T00:00:00"/>
    <n v="2565.08"/>
    <d v="2026-07-31T00:00:00"/>
    <s v="reliable"/>
    <s v="on_time"/>
    <n v="2565.08"/>
    <n v="0"/>
    <s v="Paid"/>
    <n v="46"/>
    <x v="0"/>
    <x v="0"/>
  </r>
  <r>
    <s v="INV-0021"/>
    <s v="POL-1006"/>
    <s v="A01"/>
    <d v="2026-08-01T00:00:00"/>
    <n v="2565.08"/>
    <d v="2026-08-31T00:00:00"/>
    <s v="reliable"/>
    <s v="on_time"/>
    <n v="2565.08"/>
    <n v="0"/>
    <s v="Paid"/>
    <n v="15"/>
    <x v="0"/>
    <x v="0"/>
  </r>
  <r>
    <s v="INV-0022"/>
    <s v="POL-1007"/>
    <s v="A07"/>
    <d v="2026-06-01T00:00:00"/>
    <n v="3059.33"/>
    <d v="2026-07-01T00:00:00"/>
    <s v="slow"/>
    <s v="late"/>
    <n v="3059.33"/>
    <n v="0"/>
    <s v="Paid"/>
    <n v="76"/>
    <x v="0"/>
    <x v="2"/>
  </r>
  <r>
    <s v="INV-0023"/>
    <s v="POL-1007"/>
    <s v="A07"/>
    <d v="2026-07-01T00:00:00"/>
    <n v="3059.33"/>
    <d v="2026-07-31T00:00:00"/>
    <s v="slow"/>
    <s v="on_time"/>
    <n v="3059.33"/>
    <n v="0"/>
    <s v="Paid"/>
    <n v="46"/>
    <x v="0"/>
    <x v="2"/>
  </r>
  <r>
    <s v="INV-0024"/>
    <s v="POL-1007"/>
    <s v="A07"/>
    <d v="2026-08-01T00:00:00"/>
    <n v="3059.33"/>
    <d v="2026-08-31T00:00:00"/>
    <s v="slow"/>
    <s v="late"/>
    <n v="3059.33"/>
    <n v="0"/>
    <s v="Paid"/>
    <n v="15"/>
    <x v="0"/>
    <x v="2"/>
  </r>
  <r>
    <s v="INV-0025"/>
    <s v="POL-1008"/>
    <s v="A03"/>
    <d v="2026-06-01T00:00:00"/>
    <n v="1129.08"/>
    <d v="2026-07-01T00:00:00"/>
    <s v="reliable"/>
    <s v="on_time"/>
    <n v="1129.08"/>
    <n v="0"/>
    <s v="Paid"/>
    <n v="76"/>
    <x v="0"/>
    <x v="5"/>
  </r>
  <r>
    <s v="INV-0026"/>
    <s v="POL-1008"/>
    <s v="A03"/>
    <d v="2026-07-01T00:00:00"/>
    <n v="1129.08"/>
    <d v="2026-07-31T00:00:00"/>
    <s v="reliable"/>
    <s v="on_time"/>
    <n v="1129.08"/>
    <n v="0"/>
    <s v="Paid"/>
    <n v="46"/>
    <x v="0"/>
    <x v="5"/>
  </r>
  <r>
    <s v="INV-0027"/>
    <s v="POL-1008"/>
    <s v="A03"/>
    <d v="2026-08-01T00:00:00"/>
    <n v="1129.08"/>
    <d v="2026-08-31T00:00:00"/>
    <s v="reliable"/>
    <s v="on_time"/>
    <n v="1129.08"/>
    <n v="0"/>
    <s v="Paid"/>
    <n v="15"/>
    <x v="0"/>
    <x v="5"/>
  </r>
  <r>
    <s v="INV-0028"/>
    <s v="POL-1009"/>
    <s v="A01"/>
    <d v="2026-06-01T00:00:00"/>
    <n v="1015.42"/>
    <d v="2026-07-01T00:00:00"/>
    <s v="reliable"/>
    <s v="on_time"/>
    <n v="1015.42"/>
    <n v="0"/>
    <s v="Paid"/>
    <n v="76"/>
    <x v="0"/>
    <x v="0"/>
  </r>
  <r>
    <s v="INV-0029"/>
    <s v="POL-1009"/>
    <s v="A01"/>
    <d v="2026-07-01T00:00:00"/>
    <n v="1015.42"/>
    <d v="2026-07-31T00:00:00"/>
    <s v="reliable"/>
    <s v="on_time"/>
    <n v="1015.42"/>
    <n v="0"/>
    <s v="Paid"/>
    <n v="46"/>
    <x v="0"/>
    <x v="0"/>
  </r>
  <r>
    <s v="INV-0030"/>
    <s v="POL-1009"/>
    <s v="A01"/>
    <d v="2026-08-01T00:00:00"/>
    <n v="1015.42"/>
    <d v="2026-08-31T00:00:00"/>
    <s v="reliable"/>
    <s v="on_time"/>
    <n v="1015.42"/>
    <n v="0"/>
    <s v="Paid"/>
    <n v="15"/>
    <x v="0"/>
    <x v="0"/>
  </r>
  <r>
    <s v="INV-0031"/>
    <s v="POL-1010"/>
    <s v="A06"/>
    <d v="2026-06-01T00:00:00"/>
    <n v="3507.83"/>
    <d v="2026-07-01T00:00:00"/>
    <s v="slow"/>
    <s v="on_time"/>
    <n v="3507.83"/>
    <n v="0"/>
    <s v="Paid"/>
    <n v="76"/>
    <x v="0"/>
    <x v="6"/>
  </r>
  <r>
    <s v="INV-0032"/>
    <s v="POL-1010"/>
    <s v="A06"/>
    <d v="2026-07-01T00:00:00"/>
    <n v="3507.83"/>
    <d v="2026-07-31T00:00:00"/>
    <s v="slow"/>
    <s v="short"/>
    <n v="2162.9899999999998"/>
    <n v="1344.84"/>
    <s v="Past Due"/>
    <n v="46"/>
    <x v="3"/>
    <x v="6"/>
  </r>
  <r>
    <s v="INV-0033"/>
    <s v="POL-1010"/>
    <s v="A06"/>
    <d v="2026-08-01T00:00:00"/>
    <n v="3507.83"/>
    <d v="2026-08-31T00:00:00"/>
    <s v="slow"/>
    <s v="late"/>
    <n v="3507.83"/>
    <n v="0"/>
    <s v="Paid"/>
    <n v="15"/>
    <x v="0"/>
    <x v="6"/>
  </r>
  <r>
    <s v="INV-0034"/>
    <s v="POL-1011"/>
    <s v="A10"/>
    <d v="2026-06-01T00:00:00"/>
    <n v="2619.92"/>
    <d v="2026-07-01T00:00:00"/>
    <s v="problem"/>
    <s v="late"/>
    <n v="2619.92"/>
    <n v="0"/>
    <s v="Paid"/>
    <n v="76"/>
    <x v="0"/>
    <x v="7"/>
  </r>
  <r>
    <s v="INV-0035"/>
    <s v="POL-1011"/>
    <s v="A10"/>
    <d v="2026-07-01T00:00:00"/>
    <n v="2619.92"/>
    <d v="2026-07-31T00:00:00"/>
    <s v="problem"/>
    <s v="late"/>
    <n v="0"/>
    <n v="2619.92"/>
    <s v="Past Due"/>
    <n v="46"/>
    <x v="3"/>
    <x v="7"/>
  </r>
  <r>
    <s v="INV-0036"/>
    <s v="POL-1011"/>
    <s v="A10"/>
    <d v="2026-08-01T00:00:00"/>
    <n v="2619.92"/>
    <d v="2026-08-31T00:00:00"/>
    <s v="problem"/>
    <s v="on_time"/>
    <n v="2619.92"/>
    <n v="0"/>
    <s v="Paid"/>
    <n v="15"/>
    <x v="0"/>
    <x v="7"/>
  </r>
  <r>
    <s v="INV-0037"/>
    <s v="POL-1012"/>
    <s v="A08"/>
    <d v="2026-06-01T00:00:00"/>
    <n v="3043.58"/>
    <d v="2026-07-01T00:00:00"/>
    <s v="slow"/>
    <s v="short"/>
    <n v="2447.69"/>
    <n v="595.89"/>
    <s v="Past Due"/>
    <n v="76"/>
    <x v="1"/>
    <x v="1"/>
  </r>
  <r>
    <s v="INV-0038"/>
    <s v="POL-1012"/>
    <s v="A08"/>
    <d v="2026-07-01T00:00:00"/>
    <n v="3043.58"/>
    <d v="2026-07-31T00:00:00"/>
    <s v="slow"/>
    <s v="late"/>
    <n v="3043.58"/>
    <n v="0"/>
    <s v="Paid"/>
    <n v="46"/>
    <x v="0"/>
    <x v="1"/>
  </r>
  <r>
    <s v="INV-0039"/>
    <s v="POL-1012"/>
    <s v="A08"/>
    <d v="2026-08-01T00:00:00"/>
    <n v="3043.58"/>
    <d v="2026-08-31T00:00:00"/>
    <s v="slow"/>
    <s v="late"/>
    <n v="0"/>
    <n v="3043.58"/>
    <s v="Past Due"/>
    <n v="15"/>
    <x v="2"/>
    <x v="1"/>
  </r>
  <r>
    <s v="INV-0040"/>
    <s v="POL-1013"/>
    <s v="A08"/>
    <d v="2026-06-01T00:00:00"/>
    <n v="3942.5"/>
    <d v="2026-07-01T00:00:00"/>
    <s v="slow"/>
    <s v="on_time"/>
    <n v="3942.5"/>
    <n v="0"/>
    <s v="Paid"/>
    <n v="76"/>
    <x v="0"/>
    <x v="1"/>
  </r>
  <r>
    <s v="INV-0041"/>
    <s v="POL-1013"/>
    <s v="A08"/>
    <d v="2026-07-01T00:00:00"/>
    <n v="3942.5"/>
    <d v="2026-07-31T00:00:00"/>
    <s v="slow"/>
    <s v="late"/>
    <n v="0"/>
    <n v="3942.5"/>
    <s v="Past Due"/>
    <n v="46"/>
    <x v="3"/>
    <x v="1"/>
  </r>
  <r>
    <s v="INV-0042"/>
    <s v="POL-1013"/>
    <s v="A08"/>
    <d v="2026-08-01T00:00:00"/>
    <n v="3942.5"/>
    <d v="2026-08-31T00:00:00"/>
    <s v="slow"/>
    <s v="late"/>
    <n v="0"/>
    <n v="3942.5"/>
    <s v="Past Due"/>
    <n v="15"/>
    <x v="2"/>
    <x v="1"/>
  </r>
  <r>
    <s v="INV-0043"/>
    <s v="POL-1014"/>
    <s v="A08"/>
    <d v="2026-06-01T00:00:00"/>
    <n v="3356.25"/>
    <d v="2026-07-01T00:00:00"/>
    <s v="slow"/>
    <s v="short"/>
    <n v="2894.77"/>
    <n v="461.48"/>
    <s v="Past Due"/>
    <n v="76"/>
    <x v="1"/>
    <x v="1"/>
  </r>
  <r>
    <s v="INV-0044"/>
    <s v="POL-1014"/>
    <s v="A08"/>
    <d v="2026-07-01T00:00:00"/>
    <n v="3356.25"/>
    <d v="2026-07-31T00:00:00"/>
    <s v="slow"/>
    <s v="late"/>
    <n v="3356.25"/>
    <n v="0"/>
    <s v="Paid"/>
    <n v="46"/>
    <x v="0"/>
    <x v="1"/>
  </r>
  <r>
    <s v="INV-0045"/>
    <s v="POL-1014"/>
    <s v="A08"/>
    <d v="2026-08-01T00:00:00"/>
    <n v="3356.25"/>
    <d v="2026-08-31T00:00:00"/>
    <s v="slow"/>
    <s v="late"/>
    <n v="0"/>
    <n v="3356.25"/>
    <s v="Past Due"/>
    <n v="15"/>
    <x v="2"/>
    <x v="1"/>
  </r>
  <r>
    <s v="INV-0046"/>
    <s v="POL-1015"/>
    <s v="A08"/>
    <d v="2026-06-01T00:00:00"/>
    <n v="2991.08"/>
    <d v="2026-07-01T00:00:00"/>
    <s v="slow"/>
    <s v="on_time"/>
    <n v="2991.08"/>
    <n v="0"/>
    <s v="Paid"/>
    <n v="76"/>
    <x v="0"/>
    <x v="1"/>
  </r>
  <r>
    <s v="INV-0047"/>
    <s v="POL-1015"/>
    <s v="A08"/>
    <d v="2026-07-01T00:00:00"/>
    <n v="2991.08"/>
    <d v="2026-07-31T00:00:00"/>
    <s v="slow"/>
    <s v="on_time"/>
    <n v="2991.08"/>
    <n v="0"/>
    <s v="Paid"/>
    <n v="46"/>
    <x v="0"/>
    <x v="1"/>
  </r>
  <r>
    <s v="INV-0048"/>
    <s v="POL-1015"/>
    <s v="A08"/>
    <d v="2026-08-01T00:00:00"/>
    <n v="2991.08"/>
    <d v="2026-08-31T00:00:00"/>
    <s v="slow"/>
    <s v="late"/>
    <n v="2991.08"/>
    <n v="0"/>
    <s v="Paid"/>
    <n v="15"/>
    <x v="0"/>
    <x v="1"/>
  </r>
  <r>
    <s v="INV-0049"/>
    <s v="POL-1016"/>
    <s v="A06"/>
    <d v="2026-06-01T00:00:00"/>
    <n v="3016.42"/>
    <d v="2026-07-01T00:00:00"/>
    <s v="slow"/>
    <s v="late"/>
    <n v="3016.42"/>
    <n v="0"/>
    <s v="Paid"/>
    <n v="76"/>
    <x v="0"/>
    <x v="6"/>
  </r>
  <r>
    <s v="INV-0050"/>
    <s v="POL-1016"/>
    <s v="A06"/>
    <d v="2026-07-01T00:00:00"/>
    <n v="3016.42"/>
    <d v="2026-07-31T00:00:00"/>
    <s v="slow"/>
    <s v="on_time"/>
    <n v="3016.42"/>
    <n v="0"/>
    <s v="Paid"/>
    <n v="46"/>
    <x v="0"/>
    <x v="6"/>
  </r>
  <r>
    <s v="INV-0051"/>
    <s v="POL-1016"/>
    <s v="A06"/>
    <d v="2026-08-01T00:00:00"/>
    <n v="3016.42"/>
    <d v="2026-08-31T00:00:00"/>
    <s v="slow"/>
    <s v="late"/>
    <n v="0"/>
    <n v="3016.42"/>
    <s v="Past Due"/>
    <n v="15"/>
    <x v="2"/>
    <x v="6"/>
  </r>
  <r>
    <s v="INV-0052"/>
    <s v="POL-1017"/>
    <s v="A02"/>
    <d v="2026-06-01T00:00:00"/>
    <n v="1867.75"/>
    <d v="2026-07-01T00:00:00"/>
    <s v="reliable"/>
    <s v="late"/>
    <n v="1867.75"/>
    <n v="0"/>
    <s v="Paid"/>
    <n v="76"/>
    <x v="0"/>
    <x v="8"/>
  </r>
  <r>
    <s v="INV-0053"/>
    <s v="POL-1017"/>
    <s v="A02"/>
    <d v="2026-07-01T00:00:00"/>
    <n v="1867.75"/>
    <d v="2026-07-31T00:00:00"/>
    <s v="reliable"/>
    <s v="on_time"/>
    <n v="1867.75"/>
    <n v="0"/>
    <s v="Paid"/>
    <n v="46"/>
    <x v="0"/>
    <x v="8"/>
  </r>
  <r>
    <s v="INV-0054"/>
    <s v="POL-1017"/>
    <s v="A02"/>
    <d v="2026-08-01T00:00:00"/>
    <n v="1867.75"/>
    <d v="2026-08-31T00:00:00"/>
    <s v="reliable"/>
    <s v="on_time"/>
    <n v="1867.75"/>
    <n v="0"/>
    <s v="Paid"/>
    <n v="15"/>
    <x v="0"/>
    <x v="8"/>
  </r>
  <r>
    <s v="INV-0055"/>
    <s v="POL-1018"/>
    <s v="A09"/>
    <d v="2026-06-01T00:00:00"/>
    <n v="638.66999999999996"/>
    <d v="2026-07-01T00:00:00"/>
    <s v="problem"/>
    <s v="on_time"/>
    <n v="638.66999999999996"/>
    <n v="0"/>
    <s v="Paid"/>
    <n v="76"/>
    <x v="0"/>
    <x v="4"/>
  </r>
  <r>
    <s v="INV-0056"/>
    <s v="POL-1018"/>
    <s v="A09"/>
    <d v="2026-07-01T00:00:00"/>
    <n v="638.66999999999996"/>
    <d v="2026-07-31T00:00:00"/>
    <s v="problem"/>
    <s v="short"/>
    <n v="462.96"/>
    <n v="175.71"/>
    <s v="Past Due"/>
    <n v="46"/>
    <x v="3"/>
    <x v="4"/>
  </r>
  <r>
    <s v="INV-0057"/>
    <s v="POL-1018"/>
    <s v="A09"/>
    <d v="2026-08-01T00:00:00"/>
    <n v="638.66999999999996"/>
    <d v="2026-08-31T00:00:00"/>
    <s v="problem"/>
    <s v="late"/>
    <n v="0"/>
    <n v="638.66999999999996"/>
    <s v="Past Due"/>
    <n v="15"/>
    <x v="2"/>
    <x v="4"/>
  </r>
  <r>
    <s v="INV-0058"/>
    <s v="POL-1019"/>
    <s v="A05"/>
    <d v="2026-06-01T00:00:00"/>
    <n v="2465.25"/>
    <d v="2026-07-01T00:00:00"/>
    <s v="reliable"/>
    <s v="on_time"/>
    <n v="2465.25"/>
    <n v="0"/>
    <s v="Paid"/>
    <n v="76"/>
    <x v="0"/>
    <x v="3"/>
  </r>
  <r>
    <s v="INV-0059"/>
    <s v="POL-1019"/>
    <s v="A05"/>
    <d v="2026-07-01T00:00:00"/>
    <n v="2465.25"/>
    <d v="2026-07-31T00:00:00"/>
    <s v="reliable"/>
    <s v="on_time"/>
    <n v="2465.25"/>
    <n v="0"/>
    <s v="Paid"/>
    <n v="46"/>
    <x v="0"/>
    <x v="3"/>
  </r>
  <r>
    <s v="INV-0060"/>
    <s v="POL-1019"/>
    <s v="A05"/>
    <d v="2026-08-01T00:00:00"/>
    <n v="2465.25"/>
    <d v="2026-08-31T00:00:00"/>
    <s v="reliable"/>
    <s v="on_time"/>
    <n v="2465.25"/>
    <n v="0"/>
    <s v="Paid"/>
    <n v="15"/>
    <x v="0"/>
    <x v="3"/>
  </r>
  <r>
    <s v="INV-0061"/>
    <s v="POL-1020"/>
    <s v="A06"/>
    <d v="2026-06-01T00:00:00"/>
    <n v="1465.67"/>
    <d v="2026-07-01T00:00:00"/>
    <s v="slow"/>
    <s v="on_time"/>
    <n v="1465.67"/>
    <n v="0"/>
    <s v="Paid"/>
    <n v="76"/>
    <x v="0"/>
    <x v="6"/>
  </r>
  <r>
    <s v="INV-0062"/>
    <s v="POL-1020"/>
    <s v="A06"/>
    <d v="2026-07-01T00:00:00"/>
    <n v="1465.67"/>
    <d v="2026-07-31T00:00:00"/>
    <s v="slow"/>
    <s v="short"/>
    <n v="924.11"/>
    <n v="541.55999999999995"/>
    <s v="Past Due"/>
    <n v="46"/>
    <x v="3"/>
    <x v="6"/>
  </r>
  <r>
    <s v="INV-0063"/>
    <s v="POL-1020"/>
    <s v="A06"/>
    <d v="2026-08-01T00:00:00"/>
    <n v="1465.67"/>
    <d v="2026-08-31T00:00:00"/>
    <s v="slow"/>
    <s v="on_time"/>
    <n v="1465.67"/>
    <n v="0"/>
    <s v="Paid"/>
    <n v="15"/>
    <x v="0"/>
    <x v="6"/>
  </r>
  <r>
    <s v="INV-0064"/>
    <s v="POL-1021"/>
    <s v="A04"/>
    <d v="2026-06-01T00:00:00"/>
    <n v="2338.42"/>
    <d v="2026-07-01T00:00:00"/>
    <s v="reliable"/>
    <s v="on_time"/>
    <n v="2338.42"/>
    <n v="0"/>
    <s v="Paid"/>
    <n v="76"/>
    <x v="0"/>
    <x v="9"/>
  </r>
  <r>
    <s v="INV-0065"/>
    <s v="POL-1021"/>
    <s v="A04"/>
    <d v="2026-07-01T00:00:00"/>
    <n v="2338.42"/>
    <d v="2026-07-31T00:00:00"/>
    <s v="reliable"/>
    <s v="on_time"/>
    <n v="2338.42"/>
    <n v="0"/>
    <s v="Paid"/>
    <n v="46"/>
    <x v="0"/>
    <x v="9"/>
  </r>
  <r>
    <s v="INV-0066"/>
    <s v="POL-1021"/>
    <s v="A04"/>
    <d v="2026-08-01T00:00:00"/>
    <n v="2338.42"/>
    <d v="2026-08-31T00:00:00"/>
    <s v="reliable"/>
    <s v="on_time"/>
    <n v="2338.42"/>
    <n v="0"/>
    <s v="Paid"/>
    <n v="15"/>
    <x v="0"/>
    <x v="9"/>
  </r>
  <r>
    <s v="INV-0067"/>
    <s v="POL-1022"/>
    <s v="A02"/>
    <d v="2026-06-01T00:00:00"/>
    <n v="4340.33"/>
    <d v="2026-07-01T00:00:00"/>
    <s v="reliable"/>
    <s v="on_time"/>
    <n v="4340.33"/>
    <n v="0"/>
    <s v="Paid"/>
    <n v="76"/>
    <x v="0"/>
    <x v="8"/>
  </r>
  <r>
    <s v="INV-0068"/>
    <s v="POL-1022"/>
    <s v="A02"/>
    <d v="2026-07-01T00:00:00"/>
    <n v="4340.33"/>
    <d v="2026-07-31T00:00:00"/>
    <s v="reliable"/>
    <s v="on_time"/>
    <n v="4340.33"/>
    <n v="0"/>
    <s v="Paid"/>
    <n v="46"/>
    <x v="0"/>
    <x v="8"/>
  </r>
  <r>
    <s v="INV-0069"/>
    <s v="POL-1022"/>
    <s v="A02"/>
    <d v="2026-08-01T00:00:00"/>
    <n v="4340.33"/>
    <d v="2026-08-31T00:00:00"/>
    <s v="reliable"/>
    <s v="on_time"/>
    <n v="4340.33"/>
    <n v="0"/>
    <s v="Paid"/>
    <n v="15"/>
    <x v="0"/>
    <x v="8"/>
  </r>
  <r>
    <s v="INV-0070"/>
    <s v="POL-1023"/>
    <s v="A10"/>
    <d v="2026-06-01T00:00:00"/>
    <n v="1552.75"/>
    <d v="2026-07-01T00:00:00"/>
    <s v="problem"/>
    <s v="short"/>
    <n v="1324.61"/>
    <n v="228.14"/>
    <s v="Past Due"/>
    <n v="76"/>
    <x v="1"/>
    <x v="7"/>
  </r>
  <r>
    <s v="INV-0071"/>
    <s v="POL-1023"/>
    <s v="A10"/>
    <d v="2026-07-01T00:00:00"/>
    <n v="1552.75"/>
    <d v="2026-07-31T00:00:00"/>
    <s v="problem"/>
    <s v="late"/>
    <n v="0"/>
    <n v="1552.75"/>
    <s v="Past Due"/>
    <n v="46"/>
    <x v="3"/>
    <x v="7"/>
  </r>
  <r>
    <s v="INV-0072"/>
    <s v="POL-1023"/>
    <s v="A10"/>
    <d v="2026-08-01T00:00:00"/>
    <n v="1552.75"/>
    <d v="2026-08-31T00:00:00"/>
    <s v="problem"/>
    <s v="late"/>
    <n v="0"/>
    <n v="1552.75"/>
    <s v="Past Due"/>
    <n v="15"/>
    <x v="2"/>
    <x v="7"/>
  </r>
  <r>
    <s v="INV-0073"/>
    <s v="POL-1024"/>
    <s v="A08"/>
    <d v="2026-06-01T00:00:00"/>
    <n v="762.33"/>
    <d v="2026-07-01T00:00:00"/>
    <s v="slow"/>
    <s v="on_time"/>
    <n v="762.33"/>
    <n v="0"/>
    <s v="Paid"/>
    <n v="76"/>
    <x v="0"/>
    <x v="1"/>
  </r>
  <r>
    <s v="INV-0074"/>
    <s v="POL-1024"/>
    <s v="A08"/>
    <d v="2026-07-01T00:00:00"/>
    <n v="762.33"/>
    <d v="2026-07-31T00:00:00"/>
    <s v="slow"/>
    <s v="short"/>
    <n v="640.82000000000005"/>
    <n v="121.51"/>
    <s v="Past Due"/>
    <n v="46"/>
    <x v="3"/>
    <x v="1"/>
  </r>
  <r>
    <s v="INV-0075"/>
    <s v="POL-1024"/>
    <s v="A08"/>
    <d v="2026-08-01T00:00:00"/>
    <n v="762.33"/>
    <d v="2026-08-31T00:00:00"/>
    <s v="slow"/>
    <s v="on_time"/>
    <n v="762.33"/>
    <n v="0"/>
    <s v="Paid"/>
    <n v="15"/>
    <x v="0"/>
    <x v="1"/>
  </r>
  <r>
    <s v="INV-0076"/>
    <s v="POL-1025"/>
    <s v="A07"/>
    <d v="2026-06-01T00:00:00"/>
    <n v="1766.25"/>
    <d v="2026-07-01T00:00:00"/>
    <s v="slow"/>
    <s v="on_time"/>
    <n v="1766.25"/>
    <n v="0"/>
    <s v="Paid"/>
    <n v="76"/>
    <x v="0"/>
    <x v="2"/>
  </r>
  <r>
    <s v="INV-0077"/>
    <s v="POL-1025"/>
    <s v="A07"/>
    <d v="2026-07-01T00:00:00"/>
    <n v="1766.25"/>
    <d v="2026-07-31T00:00:00"/>
    <s v="slow"/>
    <s v="late"/>
    <n v="1766.25"/>
    <n v="0"/>
    <s v="Paid"/>
    <n v="46"/>
    <x v="0"/>
    <x v="2"/>
  </r>
  <r>
    <s v="INV-0078"/>
    <s v="POL-1025"/>
    <s v="A07"/>
    <d v="2026-08-01T00:00:00"/>
    <n v="1766.25"/>
    <d v="2026-08-31T00:00:00"/>
    <s v="slow"/>
    <s v="short"/>
    <n v="1472.52"/>
    <n v="293.73"/>
    <s v="Past Due"/>
    <n v="15"/>
    <x v="2"/>
    <x v="2"/>
  </r>
  <r>
    <s v="INV-0079"/>
    <s v="POL-1026"/>
    <s v="A05"/>
    <d v="2026-06-01T00:00:00"/>
    <n v="1821.17"/>
    <d v="2026-07-01T00:00:00"/>
    <s v="reliable"/>
    <s v="late"/>
    <n v="1821.17"/>
    <n v="0"/>
    <s v="Paid"/>
    <n v="76"/>
    <x v="0"/>
    <x v="3"/>
  </r>
  <r>
    <s v="INV-0080"/>
    <s v="POL-1026"/>
    <s v="A05"/>
    <d v="2026-07-01T00:00:00"/>
    <n v="1821.17"/>
    <d v="2026-07-31T00:00:00"/>
    <s v="reliable"/>
    <s v="on_time"/>
    <n v="1821.17"/>
    <n v="0"/>
    <s v="Paid"/>
    <n v="46"/>
    <x v="0"/>
    <x v="3"/>
  </r>
  <r>
    <s v="INV-0081"/>
    <s v="POL-1026"/>
    <s v="A05"/>
    <d v="2026-08-01T00:00:00"/>
    <n v="1821.17"/>
    <d v="2026-08-31T00:00:00"/>
    <s v="reliable"/>
    <s v="late"/>
    <n v="0"/>
    <n v="1821.17"/>
    <s v="Past Due"/>
    <n v="15"/>
    <x v="2"/>
    <x v="3"/>
  </r>
  <r>
    <s v="INV-0082"/>
    <s v="POL-1027"/>
    <s v="A09"/>
    <d v="2026-06-01T00:00:00"/>
    <n v="3478.58"/>
    <d v="2026-07-01T00:00:00"/>
    <s v="problem"/>
    <s v="short"/>
    <n v="2623.78"/>
    <n v="854.8"/>
    <s v="Past Due"/>
    <n v="76"/>
    <x v="1"/>
    <x v="4"/>
  </r>
  <r>
    <s v="INV-0083"/>
    <s v="POL-1027"/>
    <s v="A09"/>
    <d v="2026-07-01T00:00:00"/>
    <n v="3478.58"/>
    <d v="2026-07-31T00:00:00"/>
    <s v="problem"/>
    <s v="late"/>
    <n v="0"/>
    <n v="3478.58"/>
    <s v="Past Due"/>
    <n v="46"/>
    <x v="3"/>
    <x v="4"/>
  </r>
  <r>
    <s v="INV-0084"/>
    <s v="POL-1027"/>
    <s v="A09"/>
    <d v="2026-08-01T00:00:00"/>
    <n v="3478.58"/>
    <d v="2026-08-31T00:00:00"/>
    <s v="problem"/>
    <s v="late"/>
    <n v="0"/>
    <n v="3478.58"/>
    <s v="Past Due"/>
    <n v="15"/>
    <x v="2"/>
    <x v="4"/>
  </r>
  <r>
    <s v="INV-0085"/>
    <s v="POL-1028"/>
    <s v="A06"/>
    <d v="2026-06-01T00:00:00"/>
    <n v="3006.67"/>
    <d v="2026-07-01T00:00:00"/>
    <s v="slow"/>
    <s v="late"/>
    <n v="3006.67"/>
    <n v="0"/>
    <s v="Paid"/>
    <n v="76"/>
    <x v="0"/>
    <x v="6"/>
  </r>
  <r>
    <s v="INV-0086"/>
    <s v="POL-1028"/>
    <s v="A06"/>
    <d v="2026-07-01T00:00:00"/>
    <n v="3006.67"/>
    <d v="2026-07-31T00:00:00"/>
    <s v="slow"/>
    <s v="late"/>
    <n v="3006.67"/>
    <n v="0"/>
    <s v="Paid"/>
    <n v="46"/>
    <x v="0"/>
    <x v="6"/>
  </r>
  <r>
    <s v="INV-0087"/>
    <s v="POL-1028"/>
    <s v="A06"/>
    <d v="2026-08-01T00:00:00"/>
    <n v="3006.67"/>
    <d v="2026-08-31T00:00:00"/>
    <s v="slow"/>
    <s v="on_time"/>
    <n v="3006.67"/>
    <n v="0"/>
    <s v="Paid"/>
    <n v="15"/>
    <x v="0"/>
    <x v="6"/>
  </r>
  <r>
    <s v="INV-0088"/>
    <s v="POL-1029"/>
    <s v="A05"/>
    <d v="2026-06-01T00:00:00"/>
    <n v="4027.58"/>
    <d v="2026-07-01T00:00:00"/>
    <s v="reliable"/>
    <s v="on_time"/>
    <n v="4027.58"/>
    <n v="0"/>
    <s v="Paid"/>
    <n v="76"/>
    <x v="0"/>
    <x v="3"/>
  </r>
  <r>
    <s v="INV-0089"/>
    <s v="POL-1029"/>
    <s v="A05"/>
    <d v="2026-07-01T00:00:00"/>
    <n v="4027.58"/>
    <d v="2026-07-31T00:00:00"/>
    <s v="reliable"/>
    <s v="on_time"/>
    <n v="4027.58"/>
    <n v="0"/>
    <s v="Paid"/>
    <n v="46"/>
    <x v="0"/>
    <x v="3"/>
  </r>
  <r>
    <s v="INV-0090"/>
    <s v="POL-1029"/>
    <s v="A05"/>
    <d v="2026-08-01T00:00:00"/>
    <n v="4027.58"/>
    <d v="2026-08-31T00:00:00"/>
    <s v="reliable"/>
    <s v="on_time"/>
    <n v="4027.58"/>
    <n v="0"/>
    <s v="Paid"/>
    <n v="15"/>
    <x v="0"/>
    <x v="3"/>
  </r>
  <r>
    <s v="INV-0091"/>
    <s v="POL-1030"/>
    <s v="A05"/>
    <d v="2026-06-01T00:00:00"/>
    <n v="3489.42"/>
    <d v="2026-07-01T00:00:00"/>
    <s v="reliable"/>
    <s v="late"/>
    <n v="3489.42"/>
    <n v="0"/>
    <s v="Paid"/>
    <n v="76"/>
    <x v="0"/>
    <x v="3"/>
  </r>
  <r>
    <s v="INV-0092"/>
    <s v="POL-1030"/>
    <s v="A05"/>
    <d v="2026-07-01T00:00:00"/>
    <n v="3489.42"/>
    <d v="2026-07-31T00:00:00"/>
    <s v="reliable"/>
    <s v="on_time"/>
    <n v="3489.42"/>
    <n v="0"/>
    <s v="Paid"/>
    <n v="46"/>
    <x v="0"/>
    <x v="3"/>
  </r>
  <r>
    <s v="INV-0093"/>
    <s v="POL-1030"/>
    <s v="A05"/>
    <d v="2026-08-01T00:00:00"/>
    <n v="3489.42"/>
    <d v="2026-08-31T00:00:00"/>
    <s v="reliable"/>
    <s v="on_time"/>
    <n v="3489.42"/>
    <n v="0"/>
    <s v="Paid"/>
    <n v="15"/>
    <x v="0"/>
    <x v="3"/>
  </r>
  <r>
    <s v="INV-0094"/>
    <s v="POL-1031"/>
    <s v="A03"/>
    <d v="2026-06-01T00:00:00"/>
    <n v="2328.75"/>
    <d v="2026-07-01T00:00:00"/>
    <s v="reliable"/>
    <s v="on_time"/>
    <n v="2328.75"/>
    <n v="0"/>
    <s v="Paid"/>
    <n v="76"/>
    <x v="0"/>
    <x v="5"/>
  </r>
  <r>
    <s v="INV-0095"/>
    <s v="POL-1031"/>
    <s v="A03"/>
    <d v="2026-07-01T00:00:00"/>
    <n v="2328.75"/>
    <d v="2026-07-31T00:00:00"/>
    <s v="reliable"/>
    <s v="on_time"/>
    <n v="2328.75"/>
    <n v="0"/>
    <s v="Paid"/>
    <n v="46"/>
    <x v="0"/>
    <x v="5"/>
  </r>
  <r>
    <s v="INV-0096"/>
    <s v="POL-1031"/>
    <s v="A03"/>
    <d v="2026-08-01T00:00:00"/>
    <n v="2328.75"/>
    <d v="2026-08-31T00:00:00"/>
    <s v="reliable"/>
    <s v="on_time"/>
    <n v="2328.75"/>
    <n v="0"/>
    <s v="Paid"/>
    <n v="15"/>
    <x v="0"/>
    <x v="5"/>
  </r>
  <r>
    <s v="INV-0097"/>
    <s v="POL-1032"/>
    <s v="A01"/>
    <d v="2026-06-01T00:00:00"/>
    <n v="4163.08"/>
    <d v="2026-07-01T00:00:00"/>
    <s v="reliable"/>
    <s v="on_time"/>
    <n v="4163.08"/>
    <n v="0"/>
    <s v="Paid"/>
    <n v="76"/>
    <x v="0"/>
    <x v="0"/>
  </r>
  <r>
    <s v="INV-0098"/>
    <s v="POL-1032"/>
    <s v="A01"/>
    <d v="2026-07-01T00:00:00"/>
    <n v="4163.08"/>
    <d v="2026-07-31T00:00:00"/>
    <s v="reliable"/>
    <s v="late"/>
    <n v="4163.08"/>
    <n v="0"/>
    <s v="Paid"/>
    <n v="46"/>
    <x v="0"/>
    <x v="0"/>
  </r>
  <r>
    <s v="INV-0099"/>
    <s v="POL-1032"/>
    <s v="A01"/>
    <d v="2026-08-01T00:00:00"/>
    <n v="4163.08"/>
    <d v="2026-08-31T00:00:00"/>
    <s v="reliable"/>
    <s v="on_time"/>
    <n v="4163.08"/>
    <n v="0"/>
    <s v="Paid"/>
    <n v="15"/>
    <x v="0"/>
    <x v="0"/>
  </r>
  <r>
    <s v="INV-0100"/>
    <s v="POL-1033"/>
    <s v="A06"/>
    <d v="2026-06-01T00:00:00"/>
    <n v="1251.42"/>
    <d v="2026-07-01T00:00:00"/>
    <s v="slow"/>
    <s v="on_time"/>
    <n v="1251.42"/>
    <n v="0"/>
    <s v="Paid"/>
    <n v="76"/>
    <x v="0"/>
    <x v="6"/>
  </r>
  <r>
    <s v="INV-0101"/>
    <s v="POL-1033"/>
    <s v="A06"/>
    <d v="2026-07-01T00:00:00"/>
    <n v="1251.42"/>
    <d v="2026-07-31T00:00:00"/>
    <s v="slow"/>
    <s v="late"/>
    <n v="1251.42"/>
    <n v="0"/>
    <s v="Paid"/>
    <n v="46"/>
    <x v="0"/>
    <x v="6"/>
  </r>
  <r>
    <s v="INV-0102"/>
    <s v="POL-1033"/>
    <s v="A06"/>
    <d v="2026-08-01T00:00:00"/>
    <n v="1251.42"/>
    <d v="2026-08-31T00:00:00"/>
    <s v="slow"/>
    <s v="short"/>
    <n v="888.41"/>
    <n v="363.01"/>
    <s v="Past Due"/>
    <n v="15"/>
    <x v="2"/>
    <x v="6"/>
  </r>
  <r>
    <s v="INV-0103"/>
    <s v="POL-1034"/>
    <s v="A09"/>
    <d v="2026-06-01T00:00:00"/>
    <n v="602.16999999999996"/>
    <d v="2026-07-01T00:00:00"/>
    <s v="problem"/>
    <s v="late"/>
    <n v="602.16999999999996"/>
    <n v="0"/>
    <s v="Paid"/>
    <n v="76"/>
    <x v="0"/>
    <x v="4"/>
  </r>
  <r>
    <s v="INV-0104"/>
    <s v="POL-1034"/>
    <s v="A09"/>
    <d v="2026-07-01T00:00:00"/>
    <n v="602.16999999999996"/>
    <d v="2026-07-31T00:00:00"/>
    <s v="problem"/>
    <s v="on_time"/>
    <n v="602.16999999999996"/>
    <n v="0"/>
    <s v="Paid"/>
    <n v="46"/>
    <x v="0"/>
    <x v="4"/>
  </r>
  <r>
    <s v="INV-0105"/>
    <s v="POL-1034"/>
    <s v="A09"/>
    <d v="2026-08-01T00:00:00"/>
    <n v="602.16999999999996"/>
    <d v="2026-08-31T00:00:00"/>
    <s v="problem"/>
    <s v="on_time"/>
    <n v="602.16999999999996"/>
    <n v="0"/>
    <s v="Paid"/>
    <n v="15"/>
    <x v="0"/>
    <x v="4"/>
  </r>
  <r>
    <s v="INV-0106"/>
    <s v="POL-1035"/>
    <s v="A01"/>
    <d v="2026-06-01T00:00:00"/>
    <n v="905.25"/>
    <d v="2026-07-01T00:00:00"/>
    <s v="reliable"/>
    <s v="on_time"/>
    <n v="905.25"/>
    <n v="0"/>
    <s v="Paid"/>
    <n v="76"/>
    <x v="0"/>
    <x v="0"/>
  </r>
  <r>
    <s v="INV-0107"/>
    <s v="POL-1035"/>
    <s v="A01"/>
    <d v="2026-07-01T00:00:00"/>
    <n v="905.25"/>
    <d v="2026-07-31T00:00:00"/>
    <s v="reliable"/>
    <s v="on_time"/>
    <n v="905.25"/>
    <n v="0"/>
    <s v="Paid"/>
    <n v="46"/>
    <x v="0"/>
    <x v="0"/>
  </r>
  <r>
    <s v="INV-0108"/>
    <s v="POL-1035"/>
    <s v="A01"/>
    <d v="2026-08-01T00:00:00"/>
    <n v="905.25"/>
    <d v="2026-08-31T00:00:00"/>
    <s v="reliable"/>
    <s v="on_time"/>
    <n v="905.25"/>
    <n v="0"/>
    <s v="Paid"/>
    <n v="15"/>
    <x v="0"/>
    <x v="0"/>
  </r>
  <r>
    <s v="INV-0109"/>
    <s v="POL-1036"/>
    <s v="A09"/>
    <d v="2026-06-01T00:00:00"/>
    <n v="3750.58"/>
    <d v="2026-07-01T00:00:00"/>
    <s v="problem"/>
    <s v="on_time"/>
    <n v="3750.58"/>
    <n v="0"/>
    <s v="Paid"/>
    <n v="76"/>
    <x v="0"/>
    <x v="4"/>
  </r>
  <r>
    <s v="INV-0110"/>
    <s v="POL-1036"/>
    <s v="A09"/>
    <d v="2026-07-01T00:00:00"/>
    <n v="3750.58"/>
    <d v="2026-07-31T00:00:00"/>
    <s v="problem"/>
    <s v="late"/>
    <n v="3750.58"/>
    <n v="0"/>
    <s v="Paid"/>
    <n v="46"/>
    <x v="0"/>
    <x v="4"/>
  </r>
  <r>
    <s v="INV-0111"/>
    <s v="POL-1036"/>
    <s v="A09"/>
    <d v="2026-08-01T00:00:00"/>
    <n v="3750.58"/>
    <d v="2026-08-31T00:00:00"/>
    <s v="problem"/>
    <s v="short"/>
    <n v="3281.4"/>
    <n v="469.18"/>
    <s v="Past Due"/>
    <n v="15"/>
    <x v="2"/>
    <x v="4"/>
  </r>
  <r>
    <s v="INV-0112"/>
    <s v="POL-1037"/>
    <s v="A09"/>
    <d v="2026-06-01T00:00:00"/>
    <n v="2578.42"/>
    <d v="2026-07-01T00:00:00"/>
    <s v="problem"/>
    <s v="late"/>
    <n v="2578.42"/>
    <n v="0"/>
    <s v="Paid"/>
    <n v="76"/>
    <x v="0"/>
    <x v="4"/>
  </r>
  <r>
    <s v="INV-0113"/>
    <s v="POL-1037"/>
    <s v="A09"/>
    <d v="2026-07-01T00:00:00"/>
    <n v="2578.42"/>
    <d v="2026-07-31T00:00:00"/>
    <s v="problem"/>
    <s v="on_time"/>
    <n v="2578.42"/>
    <n v="0"/>
    <s v="Paid"/>
    <n v="46"/>
    <x v="0"/>
    <x v="4"/>
  </r>
  <r>
    <s v="INV-0114"/>
    <s v="POL-1037"/>
    <s v="A09"/>
    <d v="2026-08-01T00:00:00"/>
    <n v="2578.42"/>
    <d v="2026-08-31T00:00:00"/>
    <s v="problem"/>
    <s v="short"/>
    <n v="1801.05"/>
    <n v="777.37"/>
    <s v="Past Due"/>
    <n v="15"/>
    <x v="2"/>
    <x v="4"/>
  </r>
  <r>
    <s v="INV-0115"/>
    <s v="POL-1038"/>
    <s v="A03"/>
    <d v="2026-06-01T00:00:00"/>
    <n v="1225.75"/>
    <d v="2026-07-01T00:00:00"/>
    <s v="reliable"/>
    <s v="on_time"/>
    <n v="1225.75"/>
    <n v="0"/>
    <s v="Paid"/>
    <n v="76"/>
    <x v="0"/>
    <x v="5"/>
  </r>
  <r>
    <s v="INV-0116"/>
    <s v="POL-1038"/>
    <s v="A03"/>
    <d v="2026-07-01T00:00:00"/>
    <n v="1225.75"/>
    <d v="2026-07-31T00:00:00"/>
    <s v="reliable"/>
    <s v="on_time"/>
    <n v="1225.75"/>
    <n v="0"/>
    <s v="Paid"/>
    <n v="46"/>
    <x v="0"/>
    <x v="5"/>
  </r>
  <r>
    <s v="INV-0117"/>
    <s v="POL-1038"/>
    <s v="A03"/>
    <d v="2026-08-01T00:00:00"/>
    <n v="1225.75"/>
    <d v="2026-08-31T00:00:00"/>
    <s v="reliable"/>
    <s v="on_time"/>
    <n v="1225.75"/>
    <n v="0"/>
    <s v="Paid"/>
    <n v="15"/>
    <x v="0"/>
    <x v="5"/>
  </r>
  <r>
    <s v="INV-0118"/>
    <s v="POL-1039"/>
    <s v="A07"/>
    <d v="2026-06-01T00:00:00"/>
    <n v="2754.67"/>
    <d v="2026-07-01T00:00:00"/>
    <s v="slow"/>
    <s v="on_time"/>
    <n v="2754.67"/>
    <n v="0"/>
    <s v="Paid"/>
    <n v="76"/>
    <x v="0"/>
    <x v="2"/>
  </r>
  <r>
    <s v="INV-0119"/>
    <s v="POL-1039"/>
    <s v="A07"/>
    <d v="2026-07-01T00:00:00"/>
    <n v="2754.67"/>
    <d v="2026-07-31T00:00:00"/>
    <s v="slow"/>
    <s v="short"/>
    <n v="2317.5500000000002"/>
    <n v="437.12"/>
    <s v="Past Due"/>
    <n v="46"/>
    <x v="3"/>
    <x v="2"/>
  </r>
  <r>
    <s v="INV-0120"/>
    <s v="POL-1039"/>
    <s v="A07"/>
    <d v="2026-08-01T00:00:00"/>
    <n v="2754.67"/>
    <d v="2026-08-31T00:00:00"/>
    <s v="slow"/>
    <s v="on_time"/>
    <n v="2754.67"/>
    <n v="0"/>
    <s v="Paid"/>
    <n v="15"/>
    <x v="0"/>
    <x v="2"/>
  </r>
  <r>
    <s v="INV-0121"/>
    <s v="POL-1040"/>
    <s v="A02"/>
    <d v="2026-06-01T00:00:00"/>
    <n v="1185.42"/>
    <d v="2026-07-01T00:00:00"/>
    <s v="reliable"/>
    <s v="on_time"/>
    <n v="1185.42"/>
    <n v="0"/>
    <s v="Paid"/>
    <n v="76"/>
    <x v="0"/>
    <x v="8"/>
  </r>
  <r>
    <s v="INV-0122"/>
    <s v="POL-1040"/>
    <s v="A02"/>
    <d v="2026-07-01T00:00:00"/>
    <n v="1185.42"/>
    <d v="2026-07-31T00:00:00"/>
    <s v="reliable"/>
    <s v="on_time"/>
    <n v="1185.42"/>
    <n v="0"/>
    <s v="Paid"/>
    <n v="46"/>
    <x v="0"/>
    <x v="8"/>
  </r>
  <r>
    <s v="INV-0123"/>
    <s v="POL-1040"/>
    <s v="A02"/>
    <d v="2026-08-01T00:00:00"/>
    <n v="1185.42"/>
    <d v="2026-08-31T00:00:00"/>
    <s v="reliable"/>
    <s v="on_time"/>
    <n v="1185.42"/>
    <n v="0"/>
    <s v="Paid"/>
    <n v="15"/>
    <x v="0"/>
    <x v="8"/>
  </r>
  <r>
    <s v="INV-0124"/>
    <s v="POL-1041"/>
    <s v="A08"/>
    <d v="2026-06-01T00:00:00"/>
    <n v="3633.42"/>
    <d v="2026-07-01T00:00:00"/>
    <s v="slow"/>
    <s v="short"/>
    <n v="2494.15"/>
    <n v="1139.27"/>
    <s v="Past Due"/>
    <n v="76"/>
    <x v="1"/>
    <x v="1"/>
  </r>
  <r>
    <s v="INV-0125"/>
    <s v="POL-1041"/>
    <s v="A08"/>
    <d v="2026-07-01T00:00:00"/>
    <n v="3633.42"/>
    <d v="2026-07-31T00:00:00"/>
    <s v="slow"/>
    <s v="on_time"/>
    <n v="3633.42"/>
    <n v="0"/>
    <s v="Paid"/>
    <n v="46"/>
    <x v="0"/>
    <x v="1"/>
  </r>
  <r>
    <s v="INV-0126"/>
    <s v="POL-1041"/>
    <s v="A08"/>
    <d v="2026-08-01T00:00:00"/>
    <n v="3633.42"/>
    <d v="2026-08-31T00:00:00"/>
    <s v="slow"/>
    <s v="short"/>
    <n v="2400.6799999999998"/>
    <n v="1232.74"/>
    <s v="Past Due"/>
    <n v="15"/>
    <x v="2"/>
    <x v="1"/>
  </r>
  <r>
    <s v="INV-0127"/>
    <s v="POL-1042"/>
    <s v="A08"/>
    <d v="2026-06-01T00:00:00"/>
    <n v="2507.67"/>
    <d v="2026-07-01T00:00:00"/>
    <s v="slow"/>
    <s v="on_time"/>
    <n v="2507.67"/>
    <n v="0"/>
    <s v="Paid"/>
    <n v="76"/>
    <x v="0"/>
    <x v="1"/>
  </r>
  <r>
    <s v="INV-0128"/>
    <s v="POL-1042"/>
    <s v="A08"/>
    <d v="2026-07-01T00:00:00"/>
    <n v="2507.67"/>
    <d v="2026-07-31T00:00:00"/>
    <s v="slow"/>
    <s v="late"/>
    <n v="2507.67"/>
    <n v="0"/>
    <s v="Paid"/>
    <n v="46"/>
    <x v="0"/>
    <x v="1"/>
  </r>
  <r>
    <s v="INV-0129"/>
    <s v="POL-1042"/>
    <s v="A08"/>
    <d v="2026-08-01T00:00:00"/>
    <n v="2507.67"/>
    <d v="2026-08-31T00:00:00"/>
    <s v="slow"/>
    <s v="late"/>
    <n v="0"/>
    <n v="2507.67"/>
    <s v="Past Due"/>
    <n v="15"/>
    <x v="2"/>
    <x v="1"/>
  </r>
  <r>
    <s v="INV-0130"/>
    <s v="POL-1043"/>
    <s v="A04"/>
    <d v="2026-06-01T00:00:00"/>
    <n v="2214.58"/>
    <d v="2026-07-01T00:00:00"/>
    <s v="reliable"/>
    <s v="on_time"/>
    <n v="2214.58"/>
    <n v="0"/>
    <s v="Paid"/>
    <n v="76"/>
    <x v="0"/>
    <x v="9"/>
  </r>
  <r>
    <s v="INV-0131"/>
    <s v="POL-1043"/>
    <s v="A04"/>
    <d v="2026-07-01T00:00:00"/>
    <n v="2214.58"/>
    <d v="2026-07-31T00:00:00"/>
    <s v="reliable"/>
    <s v="on_time"/>
    <n v="2214.58"/>
    <n v="0"/>
    <s v="Paid"/>
    <n v="46"/>
    <x v="0"/>
    <x v="9"/>
  </r>
  <r>
    <s v="INV-0132"/>
    <s v="POL-1043"/>
    <s v="A04"/>
    <d v="2026-08-01T00:00:00"/>
    <n v="2214.58"/>
    <d v="2026-08-31T00:00:00"/>
    <s v="reliable"/>
    <s v="on_time"/>
    <n v="2214.58"/>
    <n v="0"/>
    <s v="Paid"/>
    <n v="15"/>
    <x v="0"/>
    <x v="9"/>
  </r>
  <r>
    <s v="INV-0133"/>
    <s v="POL-1044"/>
    <s v="A01"/>
    <d v="2026-06-01T00:00:00"/>
    <n v="1856.83"/>
    <d v="2026-07-01T00:00:00"/>
    <s v="reliable"/>
    <s v="short"/>
    <n v="1167.07"/>
    <n v="689.76"/>
    <s v="Past Due"/>
    <n v="76"/>
    <x v="1"/>
    <x v="0"/>
  </r>
  <r>
    <s v="INV-0134"/>
    <s v="POL-1044"/>
    <s v="A01"/>
    <d v="2026-07-01T00:00:00"/>
    <n v="1856.83"/>
    <d v="2026-07-31T00:00:00"/>
    <s v="reliable"/>
    <s v="on_time"/>
    <n v="1856.83"/>
    <n v="0"/>
    <s v="Paid"/>
    <n v="46"/>
    <x v="0"/>
    <x v="0"/>
  </r>
  <r>
    <s v="INV-0135"/>
    <s v="POL-1044"/>
    <s v="A01"/>
    <d v="2026-08-01T00:00:00"/>
    <n v="1856.83"/>
    <d v="2026-08-31T00:00:00"/>
    <s v="reliable"/>
    <s v="late"/>
    <n v="0"/>
    <n v="1856.83"/>
    <s v="Past Due"/>
    <n v="15"/>
    <x v="2"/>
    <x v="0"/>
  </r>
  <r>
    <s v="INV-0136"/>
    <s v="POL-1045"/>
    <s v="A10"/>
    <d v="2026-06-01T00:00:00"/>
    <n v="3336.25"/>
    <d v="2026-07-01T00:00:00"/>
    <s v="problem"/>
    <s v="short"/>
    <n v="2086.3200000000002"/>
    <n v="1249.93"/>
    <s v="Past Due"/>
    <n v="76"/>
    <x v="1"/>
    <x v="7"/>
  </r>
  <r>
    <s v="INV-0137"/>
    <s v="POL-1045"/>
    <s v="A10"/>
    <d v="2026-07-01T00:00:00"/>
    <n v="3336.25"/>
    <d v="2026-07-31T00:00:00"/>
    <s v="problem"/>
    <s v="late"/>
    <n v="3336.25"/>
    <n v="0"/>
    <s v="Paid"/>
    <n v="46"/>
    <x v="0"/>
    <x v="7"/>
  </r>
  <r>
    <s v="INV-0138"/>
    <s v="POL-1045"/>
    <s v="A10"/>
    <d v="2026-08-01T00:00:00"/>
    <n v="3336.25"/>
    <d v="2026-08-31T00:00:00"/>
    <s v="problem"/>
    <s v="short"/>
    <n v="0"/>
    <n v="3336.25"/>
    <s v="Past Due"/>
    <n v="15"/>
    <x v="2"/>
    <x v="7"/>
  </r>
  <r>
    <s v="INV-0139"/>
    <s v="POL-1046"/>
    <s v="A05"/>
    <d v="2026-06-01T00:00:00"/>
    <n v="2128.17"/>
    <d v="2026-07-01T00:00:00"/>
    <s v="reliable"/>
    <s v="on_time"/>
    <n v="2128.17"/>
    <n v="0"/>
    <s v="Paid"/>
    <n v="76"/>
    <x v="0"/>
    <x v="3"/>
  </r>
  <r>
    <s v="INV-0140"/>
    <s v="POL-1046"/>
    <s v="A05"/>
    <d v="2026-07-01T00:00:00"/>
    <n v="2128.17"/>
    <d v="2026-07-31T00:00:00"/>
    <s v="reliable"/>
    <s v="on_time"/>
    <n v="2128.17"/>
    <n v="0"/>
    <s v="Paid"/>
    <n v="46"/>
    <x v="0"/>
    <x v="3"/>
  </r>
  <r>
    <s v="INV-0141"/>
    <s v="POL-1046"/>
    <s v="A05"/>
    <d v="2026-08-01T00:00:00"/>
    <n v="2128.17"/>
    <d v="2026-08-31T00:00:00"/>
    <s v="reliable"/>
    <s v="on_time"/>
    <n v="2128.17"/>
    <n v="0"/>
    <s v="Paid"/>
    <n v="15"/>
    <x v="0"/>
    <x v="3"/>
  </r>
  <r>
    <s v="INV-0142"/>
    <s v="POL-1047"/>
    <s v="A09"/>
    <d v="2026-06-01T00:00:00"/>
    <n v="894.42"/>
    <d v="2026-07-01T00:00:00"/>
    <s v="problem"/>
    <s v="short"/>
    <n v="695.95"/>
    <n v="198.47"/>
    <s v="Past Due"/>
    <n v="76"/>
    <x v="1"/>
    <x v="4"/>
  </r>
  <r>
    <s v="INV-0143"/>
    <s v="POL-1047"/>
    <s v="A09"/>
    <d v="2026-07-01T00:00:00"/>
    <n v="894.42"/>
    <d v="2026-07-31T00:00:00"/>
    <s v="problem"/>
    <s v="late"/>
    <n v="894.42"/>
    <n v="0"/>
    <s v="Paid"/>
    <n v="46"/>
    <x v="0"/>
    <x v="4"/>
  </r>
  <r>
    <s v="INV-0144"/>
    <s v="POL-1047"/>
    <s v="A09"/>
    <d v="2026-08-01T00:00:00"/>
    <n v="894.42"/>
    <d v="2026-08-31T00:00:00"/>
    <s v="problem"/>
    <s v="late"/>
    <n v="0"/>
    <n v="894.42"/>
    <s v="Past Due"/>
    <n v="15"/>
    <x v="2"/>
    <x v="4"/>
  </r>
  <r>
    <s v="INV-0145"/>
    <s v="POL-1048"/>
    <s v="A07"/>
    <d v="2026-06-01T00:00:00"/>
    <n v="1031"/>
    <d v="2026-07-01T00:00:00"/>
    <s v="slow"/>
    <s v="late"/>
    <n v="1031"/>
    <n v="0"/>
    <s v="Paid"/>
    <n v="76"/>
    <x v="0"/>
    <x v="2"/>
  </r>
  <r>
    <s v="INV-0146"/>
    <s v="POL-1048"/>
    <s v="A07"/>
    <d v="2026-07-01T00:00:00"/>
    <n v="1031"/>
    <d v="2026-07-31T00:00:00"/>
    <s v="slow"/>
    <s v="late"/>
    <n v="0"/>
    <n v="1031"/>
    <s v="Past Due"/>
    <n v="46"/>
    <x v="3"/>
    <x v="2"/>
  </r>
  <r>
    <s v="INV-0147"/>
    <s v="POL-1048"/>
    <s v="A07"/>
    <d v="2026-08-01T00:00:00"/>
    <n v="1031"/>
    <d v="2026-08-31T00:00:00"/>
    <s v="slow"/>
    <s v="late"/>
    <n v="0"/>
    <n v="1031"/>
    <s v="Past Due"/>
    <n v="15"/>
    <x v="2"/>
    <x v="2"/>
  </r>
  <r>
    <s v="INV-0148"/>
    <s v="POL-1049"/>
    <s v="A08"/>
    <d v="2026-06-01T00:00:00"/>
    <n v="4828.5"/>
    <d v="2026-07-01T00:00:00"/>
    <s v="slow"/>
    <s v="late"/>
    <n v="4828.5"/>
    <n v="0"/>
    <s v="Paid"/>
    <n v="76"/>
    <x v="0"/>
    <x v="1"/>
  </r>
  <r>
    <s v="INV-0149"/>
    <s v="POL-1049"/>
    <s v="A08"/>
    <d v="2026-07-01T00:00:00"/>
    <n v="4828.5"/>
    <d v="2026-07-31T00:00:00"/>
    <s v="slow"/>
    <s v="on_time"/>
    <n v="4828.5"/>
    <n v="0"/>
    <s v="Paid"/>
    <n v="46"/>
    <x v="0"/>
    <x v="1"/>
  </r>
  <r>
    <s v="INV-0150"/>
    <s v="POL-1049"/>
    <s v="A08"/>
    <d v="2026-08-01T00:00:00"/>
    <n v="4828.5"/>
    <d v="2026-08-31T00:00:00"/>
    <s v="slow"/>
    <s v="late"/>
    <n v="0"/>
    <n v="4828.5"/>
    <s v="Past Due"/>
    <n v="15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3DF1A2-BFFE-4547-BBFB-6DFEC42D468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4" firstHeaderRow="0" firstDataRow="1" firstDataCol="1"/>
  <pivotFields count="14">
    <pivotField dataField="1"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Row" showAll="0">
      <items count="11">
        <item x="2"/>
        <item x="6"/>
        <item x="8"/>
        <item x="1"/>
        <item x="9"/>
        <item x="5"/>
        <item x="7"/>
        <item x="3"/>
        <item x="4"/>
        <item x="0"/>
        <item t="default"/>
      </items>
    </pivotField>
  </pivotFields>
  <rowFields count="2">
    <field x="12"/>
    <field x="13"/>
  </rowFields>
  <rowItems count="31">
    <i>
      <x/>
    </i>
    <i r="1">
      <x/>
    </i>
    <i r="1">
      <x v="1"/>
    </i>
    <i r="1">
      <x v="3"/>
    </i>
    <i r="1">
      <x v="6"/>
    </i>
    <i r="1">
      <x v="7"/>
    </i>
    <i r="1">
      <x v="8"/>
    </i>
    <i r="1">
      <x v="9"/>
    </i>
    <i>
      <x v="1"/>
    </i>
    <i r="1">
      <x/>
    </i>
    <i r="1">
      <x v="1"/>
    </i>
    <i r="1">
      <x v="3"/>
    </i>
    <i r="1">
      <x v="6"/>
    </i>
    <i r="1">
      <x v="8"/>
    </i>
    <i>
      <x v="2"/>
    </i>
    <i r="1">
      <x v="3"/>
    </i>
    <i r="1">
      <x v="6"/>
    </i>
    <i r="1">
      <x v="8"/>
    </i>
    <i r="1">
      <x v="9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alance" fld="9" baseField="0" baseItem="0"/>
    <dataField name="Count of invoic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C20C-F8F4-4043-B3EB-A5B8B8DA1EAE}">
  <dimension ref="A3:C34"/>
  <sheetViews>
    <sheetView tabSelected="1" workbookViewId="0">
      <selection activeCell="F13" sqref="F13"/>
    </sheetView>
  </sheetViews>
  <sheetFormatPr defaultRowHeight="15" x14ac:dyDescent="0.25"/>
  <cols>
    <col min="1" max="1" width="29.5703125" bestFit="1" customWidth="1"/>
    <col min="2" max="2" width="14.85546875" bestFit="1" customWidth="1"/>
    <col min="3" max="3" width="18.7109375" bestFit="1" customWidth="1"/>
  </cols>
  <sheetData>
    <row r="3" spans="1:3" x14ac:dyDescent="0.25">
      <c r="A3" s="2" t="s">
        <v>246</v>
      </c>
      <c r="B3" t="s">
        <v>248</v>
      </c>
      <c r="C3" t="s">
        <v>249</v>
      </c>
    </row>
    <row r="4" spans="1:3" x14ac:dyDescent="0.25">
      <c r="A4" s="3" t="s">
        <v>31</v>
      </c>
      <c r="B4" s="5">
        <v>40205.449999999997</v>
      </c>
      <c r="C4" s="5">
        <v>21</v>
      </c>
    </row>
    <row r="5" spans="1:3" x14ac:dyDescent="0.25">
      <c r="A5" s="4" t="s">
        <v>242</v>
      </c>
      <c r="B5" s="5">
        <v>1324.73</v>
      </c>
      <c r="C5" s="5">
        <v>2</v>
      </c>
    </row>
    <row r="6" spans="1:3" x14ac:dyDescent="0.25">
      <c r="A6" s="4" t="s">
        <v>241</v>
      </c>
      <c r="B6" s="5">
        <v>3379.4300000000003</v>
      </c>
      <c r="C6" s="5">
        <v>2</v>
      </c>
    </row>
    <row r="7" spans="1:3" x14ac:dyDescent="0.25">
      <c r="A7" s="4" t="s">
        <v>243</v>
      </c>
      <c r="B7" s="5">
        <v>19444.41</v>
      </c>
      <c r="C7" s="5">
        <v>7</v>
      </c>
    </row>
    <row r="8" spans="1:3" x14ac:dyDescent="0.25">
      <c r="A8" s="4" t="s">
        <v>245</v>
      </c>
      <c r="B8" s="5">
        <v>4889</v>
      </c>
      <c r="C8" s="5">
        <v>2</v>
      </c>
    </row>
    <row r="9" spans="1:3" x14ac:dyDescent="0.25">
      <c r="A9" s="4" t="s">
        <v>240</v>
      </c>
      <c r="B9" s="5">
        <v>1821.17</v>
      </c>
      <c r="C9" s="5">
        <v>1</v>
      </c>
    </row>
    <row r="10" spans="1:3" x14ac:dyDescent="0.25">
      <c r="A10" s="4" t="s">
        <v>244</v>
      </c>
      <c r="B10" s="5">
        <v>7489.88</v>
      </c>
      <c r="C10" s="5">
        <v>6</v>
      </c>
    </row>
    <row r="11" spans="1:3" x14ac:dyDescent="0.25">
      <c r="A11" s="4" t="s">
        <v>236</v>
      </c>
      <c r="B11" s="5">
        <v>1856.83</v>
      </c>
      <c r="C11" s="5">
        <v>1</v>
      </c>
    </row>
    <row r="12" spans="1:3" x14ac:dyDescent="0.25">
      <c r="A12" s="3" t="s">
        <v>51</v>
      </c>
      <c r="B12" s="5">
        <v>15857.91</v>
      </c>
      <c r="C12" s="5">
        <v>11</v>
      </c>
    </row>
    <row r="13" spans="1:3" x14ac:dyDescent="0.25">
      <c r="A13" s="4" t="s">
        <v>242</v>
      </c>
      <c r="B13" s="5">
        <v>1468.12</v>
      </c>
      <c r="C13" s="5">
        <v>2</v>
      </c>
    </row>
    <row r="14" spans="1:3" x14ac:dyDescent="0.25">
      <c r="A14" s="4" t="s">
        <v>241</v>
      </c>
      <c r="B14" s="5">
        <v>1886.3999999999999</v>
      </c>
      <c r="C14" s="5">
        <v>2</v>
      </c>
    </row>
    <row r="15" spans="1:3" x14ac:dyDescent="0.25">
      <c r="A15" s="4" t="s">
        <v>243</v>
      </c>
      <c r="B15" s="5">
        <v>4064.01</v>
      </c>
      <c r="C15" s="5">
        <v>2</v>
      </c>
    </row>
    <row r="16" spans="1:3" x14ac:dyDescent="0.25">
      <c r="A16" s="4" t="s">
        <v>245</v>
      </c>
      <c r="B16" s="5">
        <v>4172.67</v>
      </c>
      <c r="C16" s="5">
        <v>2</v>
      </c>
    </row>
    <row r="17" spans="1:3" x14ac:dyDescent="0.25">
      <c r="A17" s="4" t="s">
        <v>244</v>
      </c>
      <c r="B17" s="5">
        <v>4266.71</v>
      </c>
      <c r="C17" s="5">
        <v>3</v>
      </c>
    </row>
    <row r="18" spans="1:3" x14ac:dyDescent="0.25">
      <c r="A18" s="3" t="s">
        <v>28</v>
      </c>
      <c r="B18" s="5">
        <v>6448.0300000000007</v>
      </c>
      <c r="C18" s="5">
        <v>10</v>
      </c>
    </row>
    <row r="19" spans="1:3" x14ac:dyDescent="0.25">
      <c r="A19" s="4" t="s">
        <v>243</v>
      </c>
      <c r="B19" s="5">
        <v>2337.31</v>
      </c>
      <c r="C19" s="5">
        <v>4</v>
      </c>
    </row>
    <row r="20" spans="1:3" x14ac:dyDescent="0.25">
      <c r="A20" s="4" t="s">
        <v>245</v>
      </c>
      <c r="B20" s="5">
        <v>1478.0700000000002</v>
      </c>
      <c r="C20" s="5">
        <v>2</v>
      </c>
    </row>
    <row r="21" spans="1:3" x14ac:dyDescent="0.25">
      <c r="A21" s="4" t="s">
        <v>244</v>
      </c>
      <c r="B21" s="5">
        <v>1942.89</v>
      </c>
      <c r="C21" s="5">
        <v>3</v>
      </c>
    </row>
    <row r="22" spans="1:3" x14ac:dyDescent="0.25">
      <c r="A22" s="4" t="s">
        <v>236</v>
      </c>
      <c r="B22" s="5">
        <v>689.76</v>
      </c>
      <c r="C22" s="5">
        <v>1</v>
      </c>
    </row>
    <row r="23" spans="1:3" x14ac:dyDescent="0.25">
      <c r="A23" s="3" t="s">
        <v>18</v>
      </c>
      <c r="B23" s="5">
        <v>0</v>
      </c>
      <c r="C23" s="5">
        <v>108</v>
      </c>
    </row>
    <row r="24" spans="1:3" x14ac:dyDescent="0.25">
      <c r="A24" s="4" t="s">
        <v>242</v>
      </c>
      <c r="B24" s="5">
        <v>0</v>
      </c>
      <c r="C24" s="5">
        <v>11</v>
      </c>
    </row>
    <row r="25" spans="1:3" x14ac:dyDescent="0.25">
      <c r="A25" s="4" t="s">
        <v>241</v>
      </c>
      <c r="B25" s="5">
        <v>0</v>
      </c>
      <c r="C25" s="5">
        <v>11</v>
      </c>
    </row>
    <row r="26" spans="1:3" x14ac:dyDescent="0.25">
      <c r="A26" s="4" t="s">
        <v>237</v>
      </c>
      <c r="B26" s="5">
        <v>0</v>
      </c>
      <c r="C26" s="5">
        <v>9</v>
      </c>
    </row>
    <row r="27" spans="1:3" x14ac:dyDescent="0.25">
      <c r="A27" s="4" t="s">
        <v>243</v>
      </c>
      <c r="B27" s="5">
        <v>0</v>
      </c>
      <c r="C27" s="5">
        <v>14</v>
      </c>
    </row>
    <row r="28" spans="1:3" x14ac:dyDescent="0.25">
      <c r="A28" s="4" t="s">
        <v>239</v>
      </c>
      <c r="B28" s="5">
        <v>0</v>
      </c>
      <c r="C28" s="5">
        <v>6</v>
      </c>
    </row>
    <row r="29" spans="1:3" x14ac:dyDescent="0.25">
      <c r="A29" s="4" t="s">
        <v>238</v>
      </c>
      <c r="B29" s="5">
        <v>0</v>
      </c>
      <c r="C29" s="5">
        <v>9</v>
      </c>
    </row>
    <row r="30" spans="1:3" x14ac:dyDescent="0.25">
      <c r="A30" s="4" t="s">
        <v>245</v>
      </c>
      <c r="B30" s="5">
        <v>0</v>
      </c>
      <c r="C30" s="5">
        <v>3</v>
      </c>
    </row>
    <row r="31" spans="1:3" x14ac:dyDescent="0.25">
      <c r="A31" s="4" t="s">
        <v>240</v>
      </c>
      <c r="B31" s="5">
        <v>0</v>
      </c>
      <c r="C31" s="5">
        <v>20</v>
      </c>
    </row>
    <row r="32" spans="1:3" x14ac:dyDescent="0.25">
      <c r="A32" s="4" t="s">
        <v>244</v>
      </c>
      <c r="B32" s="5">
        <v>0</v>
      </c>
      <c r="C32" s="5">
        <v>9</v>
      </c>
    </row>
    <row r="33" spans="1:3" x14ac:dyDescent="0.25">
      <c r="A33" s="4" t="s">
        <v>236</v>
      </c>
      <c r="B33" s="5">
        <v>0</v>
      </c>
      <c r="C33" s="5">
        <v>16</v>
      </c>
    </row>
    <row r="34" spans="1:3" x14ac:dyDescent="0.25">
      <c r="A34" s="3" t="s">
        <v>247</v>
      </c>
      <c r="B34" s="5">
        <v>62511.39</v>
      </c>
      <c r="C34" s="5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B2C8C-6F5B-4905-8642-07411FF387CD}">
  <dimension ref="A1:N151"/>
  <sheetViews>
    <sheetView workbookViewId="0">
      <selection sqref="A1:N151"/>
    </sheetView>
  </sheetViews>
  <sheetFormatPr defaultRowHeight="15" x14ac:dyDescent="0.25"/>
  <cols>
    <col min="12" max="12" width="19.7109375" customWidth="1"/>
    <col min="13" max="13" width="12.140625" customWidth="1"/>
    <col min="14" max="14" width="26.2851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234</v>
      </c>
    </row>
    <row r="2" spans="1:14" x14ac:dyDescent="0.25">
      <c r="A2" t="s">
        <v>13</v>
      </c>
      <c r="B2" t="s">
        <v>14</v>
      </c>
      <c r="C2" t="s">
        <v>15</v>
      </c>
      <c r="D2" s="1">
        <v>46174</v>
      </c>
      <c r="E2">
        <v>1399.58</v>
      </c>
      <c r="F2" s="1">
        <v>46204</v>
      </c>
      <c r="G2" t="s">
        <v>16</v>
      </c>
      <c r="H2" t="s">
        <v>17</v>
      </c>
      <c r="I2">
        <v>1399.58</v>
      </c>
      <c r="J2">
        <v>0</v>
      </c>
      <c r="K2" t="s">
        <v>18</v>
      </c>
      <c r="L2">
        <v>76</v>
      </c>
      <c r="M2" t="s">
        <v>18</v>
      </c>
      <c r="N2" t="str">
        <f>_xlfn.XLOOKUP(C2,agencies!A:A,agencies!B:B)</f>
        <v>Summit Insurance Group</v>
      </c>
    </row>
    <row r="3" spans="1:14" x14ac:dyDescent="0.25">
      <c r="A3" t="s">
        <v>19</v>
      </c>
      <c r="B3" t="s">
        <v>14</v>
      </c>
      <c r="C3" t="s">
        <v>15</v>
      </c>
      <c r="D3" s="1">
        <v>46204</v>
      </c>
      <c r="E3">
        <v>1399.58</v>
      </c>
      <c r="F3" s="1">
        <v>46234</v>
      </c>
      <c r="G3" t="s">
        <v>16</v>
      </c>
      <c r="H3" t="s">
        <v>20</v>
      </c>
      <c r="I3">
        <v>1399.58</v>
      </c>
      <c r="J3">
        <v>0</v>
      </c>
      <c r="K3" t="s">
        <v>18</v>
      </c>
      <c r="L3">
        <v>46</v>
      </c>
      <c r="M3" t="s">
        <v>18</v>
      </c>
      <c r="N3" t="str">
        <f>_xlfn.XLOOKUP(C3,agencies!A:A,agencies!B:B)</f>
        <v>Summit Insurance Group</v>
      </c>
    </row>
    <row r="4" spans="1:14" x14ac:dyDescent="0.25">
      <c r="A4" t="s">
        <v>21</v>
      </c>
      <c r="B4" t="s">
        <v>14</v>
      </c>
      <c r="C4" t="s">
        <v>15</v>
      </c>
      <c r="D4" s="1">
        <v>46235</v>
      </c>
      <c r="E4">
        <v>1399.58</v>
      </c>
      <c r="F4" s="1">
        <v>46265</v>
      </c>
      <c r="G4" t="s">
        <v>16</v>
      </c>
      <c r="H4" t="s">
        <v>20</v>
      </c>
      <c r="I4">
        <v>1399.58</v>
      </c>
      <c r="J4">
        <v>0</v>
      </c>
      <c r="K4" t="s">
        <v>18</v>
      </c>
      <c r="L4">
        <v>15</v>
      </c>
      <c r="M4" t="s">
        <v>18</v>
      </c>
      <c r="N4" t="str">
        <f>_xlfn.XLOOKUP(C4,agencies!A:A,agencies!B:B)</f>
        <v>Summit Insurance Group</v>
      </c>
    </row>
    <row r="5" spans="1:14" x14ac:dyDescent="0.25">
      <c r="A5" t="s">
        <v>22</v>
      </c>
      <c r="B5" t="s">
        <v>23</v>
      </c>
      <c r="C5" t="s">
        <v>24</v>
      </c>
      <c r="D5" s="1">
        <v>46174</v>
      </c>
      <c r="E5">
        <v>533.16999999999996</v>
      </c>
      <c r="F5" s="1">
        <v>46204</v>
      </c>
      <c r="G5" t="s">
        <v>25</v>
      </c>
      <c r="H5" t="s">
        <v>26</v>
      </c>
      <c r="I5">
        <v>392.5</v>
      </c>
      <c r="J5">
        <v>140.66999999999999</v>
      </c>
      <c r="K5" t="s">
        <v>27</v>
      </c>
      <c r="L5">
        <v>76</v>
      </c>
      <c r="M5" t="s">
        <v>28</v>
      </c>
      <c r="N5" t="str">
        <f>_xlfn.XLOOKUP(C5,agencies!A:A,agencies!B:B)</f>
        <v>Ironwood Insurance Agency</v>
      </c>
    </row>
    <row r="6" spans="1:14" x14ac:dyDescent="0.25">
      <c r="A6" t="s">
        <v>29</v>
      </c>
      <c r="B6" t="s">
        <v>23</v>
      </c>
      <c r="C6" t="s">
        <v>24</v>
      </c>
      <c r="D6" s="1">
        <v>46204</v>
      </c>
      <c r="E6">
        <v>533.16999999999996</v>
      </c>
      <c r="F6" s="1">
        <v>46234</v>
      </c>
      <c r="G6" t="s">
        <v>25</v>
      </c>
      <c r="H6" t="s">
        <v>17</v>
      </c>
      <c r="I6">
        <v>533.16999999999996</v>
      </c>
      <c r="J6">
        <v>0</v>
      </c>
      <c r="K6" t="s">
        <v>18</v>
      </c>
      <c r="L6">
        <v>46</v>
      </c>
      <c r="M6" t="s">
        <v>18</v>
      </c>
      <c r="N6" t="str">
        <f>_xlfn.XLOOKUP(C6,agencies!A:A,agencies!B:B)</f>
        <v>Ironwood Insurance Agency</v>
      </c>
    </row>
    <row r="7" spans="1:14" x14ac:dyDescent="0.25">
      <c r="A7" t="s">
        <v>30</v>
      </c>
      <c r="B7" t="s">
        <v>23</v>
      </c>
      <c r="C7" t="s">
        <v>24</v>
      </c>
      <c r="D7" s="1">
        <v>46235</v>
      </c>
      <c r="E7">
        <v>533.16999999999996</v>
      </c>
      <c r="F7" s="1">
        <v>46265</v>
      </c>
      <c r="G7" t="s">
        <v>25</v>
      </c>
      <c r="H7" t="s">
        <v>17</v>
      </c>
      <c r="I7">
        <v>0</v>
      </c>
      <c r="J7">
        <v>533.16999999999996</v>
      </c>
      <c r="K7" t="s">
        <v>27</v>
      </c>
      <c r="L7">
        <v>15</v>
      </c>
      <c r="M7" t="s">
        <v>31</v>
      </c>
      <c r="N7" t="str">
        <f>_xlfn.XLOOKUP(C7,agencies!A:A,agencies!B:B)</f>
        <v>Ironwood Insurance Agency</v>
      </c>
    </row>
    <row r="8" spans="1:14" x14ac:dyDescent="0.25">
      <c r="A8" t="s">
        <v>32</v>
      </c>
      <c r="B8" t="s">
        <v>33</v>
      </c>
      <c r="C8" t="s">
        <v>34</v>
      </c>
      <c r="D8" s="1">
        <v>46174</v>
      </c>
      <c r="E8">
        <v>4041.17</v>
      </c>
      <c r="F8" s="1">
        <v>46204</v>
      </c>
      <c r="G8" t="s">
        <v>25</v>
      </c>
      <c r="H8" t="s">
        <v>17</v>
      </c>
      <c r="I8">
        <v>4041.17</v>
      </c>
      <c r="J8">
        <v>0</v>
      </c>
      <c r="K8" t="s">
        <v>18</v>
      </c>
      <c r="L8">
        <v>76</v>
      </c>
      <c r="M8" t="s">
        <v>18</v>
      </c>
      <c r="N8" t="str">
        <f>_xlfn.XLOOKUP(C8,agencies!A:A,agencies!B:B)</f>
        <v>Bayview Risk Advisors</v>
      </c>
    </row>
    <row r="9" spans="1:14" x14ac:dyDescent="0.25">
      <c r="A9" t="s">
        <v>35</v>
      </c>
      <c r="B9" t="s">
        <v>33</v>
      </c>
      <c r="C9" t="s">
        <v>34</v>
      </c>
      <c r="D9" s="1">
        <v>46204</v>
      </c>
      <c r="E9">
        <v>4041.17</v>
      </c>
      <c r="F9" s="1">
        <v>46234</v>
      </c>
      <c r="G9" t="s">
        <v>25</v>
      </c>
      <c r="H9" t="s">
        <v>20</v>
      </c>
      <c r="I9">
        <v>4041.17</v>
      </c>
      <c r="J9">
        <v>0</v>
      </c>
      <c r="K9" t="s">
        <v>18</v>
      </c>
      <c r="L9">
        <v>46</v>
      </c>
      <c r="M9" t="s">
        <v>18</v>
      </c>
      <c r="N9" t="str">
        <f>_xlfn.XLOOKUP(C9,agencies!A:A,agencies!B:B)</f>
        <v>Bayview Risk Advisors</v>
      </c>
    </row>
    <row r="10" spans="1:14" x14ac:dyDescent="0.25">
      <c r="A10" t="s">
        <v>36</v>
      </c>
      <c r="B10" t="s">
        <v>33</v>
      </c>
      <c r="C10" t="s">
        <v>34</v>
      </c>
      <c r="D10" s="1">
        <v>46235</v>
      </c>
      <c r="E10">
        <v>4041.17</v>
      </c>
      <c r="F10" s="1">
        <v>46265</v>
      </c>
      <c r="G10" t="s">
        <v>25</v>
      </c>
      <c r="H10" t="s">
        <v>20</v>
      </c>
      <c r="I10">
        <v>4041.17</v>
      </c>
      <c r="J10">
        <v>0</v>
      </c>
      <c r="K10" t="s">
        <v>18</v>
      </c>
      <c r="L10">
        <v>15</v>
      </c>
      <c r="M10" t="s">
        <v>18</v>
      </c>
      <c r="N10" t="str">
        <f>_xlfn.XLOOKUP(C10,agencies!A:A,agencies!B:B)</f>
        <v>Bayview Risk Advisors</v>
      </c>
    </row>
    <row r="11" spans="1:14" x14ac:dyDescent="0.25">
      <c r="A11" t="s">
        <v>37</v>
      </c>
      <c r="B11" t="s">
        <v>38</v>
      </c>
      <c r="C11" t="s">
        <v>39</v>
      </c>
      <c r="D11" s="1">
        <v>46174</v>
      </c>
      <c r="E11">
        <v>3491.83</v>
      </c>
      <c r="F11" s="1">
        <v>46204</v>
      </c>
      <c r="G11" t="s">
        <v>16</v>
      </c>
      <c r="H11" t="s">
        <v>17</v>
      </c>
      <c r="I11">
        <v>3491.83</v>
      </c>
      <c r="J11">
        <v>0</v>
      </c>
      <c r="K11" t="s">
        <v>18</v>
      </c>
      <c r="L11">
        <v>76</v>
      </c>
      <c r="M11" t="s">
        <v>18</v>
      </c>
      <c r="N11" t="str">
        <f>_xlfn.XLOOKUP(C11,agencies!A:A,agencies!B:B)</f>
        <v>Pioneer Underwriters</v>
      </c>
    </row>
    <row r="12" spans="1:14" x14ac:dyDescent="0.25">
      <c r="A12" t="s">
        <v>40</v>
      </c>
      <c r="B12" t="s">
        <v>38</v>
      </c>
      <c r="C12" t="s">
        <v>39</v>
      </c>
      <c r="D12" s="1">
        <v>46204</v>
      </c>
      <c r="E12">
        <v>3491.83</v>
      </c>
      <c r="F12" s="1">
        <v>46234</v>
      </c>
      <c r="G12" t="s">
        <v>16</v>
      </c>
      <c r="H12" t="s">
        <v>20</v>
      </c>
      <c r="I12">
        <v>3491.83</v>
      </c>
      <c r="J12">
        <v>0</v>
      </c>
      <c r="K12" t="s">
        <v>18</v>
      </c>
      <c r="L12">
        <v>46</v>
      </c>
      <c r="M12" t="s">
        <v>18</v>
      </c>
      <c r="N12" t="str">
        <f>_xlfn.XLOOKUP(C12,agencies!A:A,agencies!B:B)</f>
        <v>Pioneer Underwriters</v>
      </c>
    </row>
    <row r="13" spans="1:14" x14ac:dyDescent="0.25">
      <c r="A13" t="s">
        <v>41</v>
      </c>
      <c r="B13" t="s">
        <v>38</v>
      </c>
      <c r="C13" t="s">
        <v>39</v>
      </c>
      <c r="D13" s="1">
        <v>46235</v>
      </c>
      <c r="E13">
        <v>3491.83</v>
      </c>
      <c r="F13" s="1">
        <v>46265</v>
      </c>
      <c r="G13" t="s">
        <v>16</v>
      </c>
      <c r="H13" t="s">
        <v>20</v>
      </c>
      <c r="I13">
        <v>3491.83</v>
      </c>
      <c r="J13">
        <v>0</v>
      </c>
      <c r="K13" t="s">
        <v>18</v>
      </c>
      <c r="L13">
        <v>15</v>
      </c>
      <c r="M13" t="s">
        <v>18</v>
      </c>
      <c r="N13" t="str">
        <f>_xlfn.XLOOKUP(C13,agencies!A:A,agencies!B:B)</f>
        <v>Pioneer Underwriters</v>
      </c>
    </row>
    <row r="14" spans="1:14" x14ac:dyDescent="0.25">
      <c r="A14" t="s">
        <v>42</v>
      </c>
      <c r="B14" t="s">
        <v>43</v>
      </c>
      <c r="C14" t="s">
        <v>39</v>
      </c>
      <c r="D14" s="1">
        <v>46174</v>
      </c>
      <c r="E14">
        <v>3673.25</v>
      </c>
      <c r="F14" s="1">
        <v>46204</v>
      </c>
      <c r="G14" t="s">
        <v>16</v>
      </c>
      <c r="H14" t="s">
        <v>20</v>
      </c>
      <c r="I14">
        <v>3673.25</v>
      </c>
      <c r="J14">
        <v>0</v>
      </c>
      <c r="K14" t="s">
        <v>18</v>
      </c>
      <c r="L14">
        <v>76</v>
      </c>
      <c r="M14" t="s">
        <v>18</v>
      </c>
      <c r="N14" t="str">
        <f>_xlfn.XLOOKUP(C14,agencies!A:A,agencies!B:B)</f>
        <v>Pioneer Underwriters</v>
      </c>
    </row>
    <row r="15" spans="1:14" x14ac:dyDescent="0.25">
      <c r="A15" t="s">
        <v>44</v>
      </c>
      <c r="B15" t="s">
        <v>43</v>
      </c>
      <c r="C15" t="s">
        <v>39</v>
      </c>
      <c r="D15" s="1">
        <v>46204</v>
      </c>
      <c r="E15">
        <v>3673.25</v>
      </c>
      <c r="F15" s="1">
        <v>46234</v>
      </c>
      <c r="G15" t="s">
        <v>16</v>
      </c>
      <c r="H15" t="s">
        <v>20</v>
      </c>
      <c r="I15">
        <v>3673.25</v>
      </c>
      <c r="J15">
        <v>0</v>
      </c>
      <c r="K15" t="s">
        <v>18</v>
      </c>
      <c r="L15">
        <v>46</v>
      </c>
      <c r="M15" t="s">
        <v>18</v>
      </c>
      <c r="N15" t="str">
        <f>_xlfn.XLOOKUP(C15,agencies!A:A,agencies!B:B)</f>
        <v>Pioneer Underwriters</v>
      </c>
    </row>
    <row r="16" spans="1:14" x14ac:dyDescent="0.25">
      <c r="A16" t="s">
        <v>45</v>
      </c>
      <c r="B16" t="s">
        <v>43</v>
      </c>
      <c r="C16" t="s">
        <v>39</v>
      </c>
      <c r="D16" s="1">
        <v>46235</v>
      </c>
      <c r="E16">
        <v>3673.25</v>
      </c>
      <c r="F16" s="1">
        <v>46265</v>
      </c>
      <c r="G16" t="s">
        <v>16</v>
      </c>
      <c r="H16" t="s">
        <v>20</v>
      </c>
      <c r="I16">
        <v>3673.25</v>
      </c>
      <c r="J16">
        <v>0</v>
      </c>
      <c r="K16" t="s">
        <v>18</v>
      </c>
      <c r="L16">
        <v>15</v>
      </c>
      <c r="M16" t="s">
        <v>18</v>
      </c>
      <c r="N16" t="str">
        <f>_xlfn.XLOOKUP(C16,agencies!A:A,agencies!B:B)</f>
        <v>Pioneer Underwriters</v>
      </c>
    </row>
    <row r="17" spans="1:14" x14ac:dyDescent="0.25">
      <c r="A17" t="s">
        <v>46</v>
      </c>
      <c r="B17" t="s">
        <v>47</v>
      </c>
      <c r="C17" t="s">
        <v>48</v>
      </c>
      <c r="D17" s="1">
        <v>46174</v>
      </c>
      <c r="E17">
        <v>4013.25</v>
      </c>
      <c r="F17" s="1">
        <v>46204</v>
      </c>
      <c r="G17" t="s">
        <v>49</v>
      </c>
      <c r="H17" t="s">
        <v>26</v>
      </c>
      <c r="I17">
        <v>3123.63</v>
      </c>
      <c r="J17">
        <v>889.62</v>
      </c>
      <c r="K17" t="s">
        <v>27</v>
      </c>
      <c r="L17">
        <v>76</v>
      </c>
      <c r="M17" t="s">
        <v>28</v>
      </c>
      <c r="N17" t="str">
        <f>_xlfn.XLOOKUP(C17,agencies!A:A,agencies!B:B)</f>
        <v>Sterling Benefits &amp; Risk</v>
      </c>
    </row>
    <row r="18" spans="1:14" x14ac:dyDescent="0.25">
      <c r="A18" t="s">
        <v>50</v>
      </c>
      <c r="B18" t="s">
        <v>47</v>
      </c>
      <c r="C18" t="s">
        <v>48</v>
      </c>
      <c r="D18" s="1">
        <v>46204</v>
      </c>
      <c r="E18">
        <v>4013.25</v>
      </c>
      <c r="F18" s="1">
        <v>46234</v>
      </c>
      <c r="G18" t="s">
        <v>49</v>
      </c>
      <c r="H18" t="s">
        <v>26</v>
      </c>
      <c r="I18">
        <v>3400.83</v>
      </c>
      <c r="J18">
        <v>612.41999999999996</v>
      </c>
      <c r="K18" t="s">
        <v>27</v>
      </c>
      <c r="L18">
        <v>46</v>
      </c>
      <c r="M18" t="s">
        <v>51</v>
      </c>
      <c r="N18" t="str">
        <f>_xlfn.XLOOKUP(C18,agencies!A:A,agencies!B:B)</f>
        <v>Sterling Benefits &amp; Risk</v>
      </c>
    </row>
    <row r="19" spans="1:14" x14ac:dyDescent="0.25">
      <c r="A19" t="s">
        <v>52</v>
      </c>
      <c r="B19" t="s">
        <v>47</v>
      </c>
      <c r="C19" t="s">
        <v>48</v>
      </c>
      <c r="D19" s="1">
        <v>46235</v>
      </c>
      <c r="E19">
        <v>4013.25</v>
      </c>
      <c r="F19" s="1">
        <v>46265</v>
      </c>
      <c r="G19" t="s">
        <v>49</v>
      </c>
      <c r="H19" t="s">
        <v>26</v>
      </c>
      <c r="I19">
        <v>2781.59</v>
      </c>
      <c r="J19">
        <v>1231.6600000000001</v>
      </c>
      <c r="K19" t="s">
        <v>27</v>
      </c>
      <c r="L19">
        <v>15</v>
      </c>
      <c r="M19" t="s">
        <v>31</v>
      </c>
      <c r="N19" t="str">
        <f>_xlfn.XLOOKUP(C19,agencies!A:A,agencies!B:B)</f>
        <v>Sterling Benefits &amp; Risk</v>
      </c>
    </row>
    <row r="20" spans="1:14" x14ac:dyDescent="0.25">
      <c r="A20" t="s">
        <v>53</v>
      </c>
      <c r="B20" t="s">
        <v>54</v>
      </c>
      <c r="C20" t="s">
        <v>15</v>
      </c>
      <c r="D20" s="1">
        <v>46174</v>
      </c>
      <c r="E20">
        <v>2565.08</v>
      </c>
      <c r="F20" s="1">
        <v>46204</v>
      </c>
      <c r="G20" t="s">
        <v>16</v>
      </c>
      <c r="H20" t="s">
        <v>20</v>
      </c>
      <c r="I20">
        <v>2565.08</v>
      </c>
      <c r="J20">
        <v>0</v>
      </c>
      <c r="K20" t="s">
        <v>18</v>
      </c>
      <c r="L20">
        <v>76</v>
      </c>
      <c r="M20" t="s">
        <v>18</v>
      </c>
      <c r="N20" t="str">
        <f>_xlfn.XLOOKUP(C20,agencies!A:A,agencies!B:B)</f>
        <v>Summit Insurance Group</v>
      </c>
    </row>
    <row r="21" spans="1:14" x14ac:dyDescent="0.25">
      <c r="A21" t="s">
        <v>55</v>
      </c>
      <c r="B21" t="s">
        <v>54</v>
      </c>
      <c r="C21" t="s">
        <v>15</v>
      </c>
      <c r="D21" s="1">
        <v>46204</v>
      </c>
      <c r="E21">
        <v>2565.08</v>
      </c>
      <c r="F21" s="1">
        <v>46234</v>
      </c>
      <c r="G21" t="s">
        <v>16</v>
      </c>
      <c r="H21" t="s">
        <v>20</v>
      </c>
      <c r="I21">
        <v>2565.08</v>
      </c>
      <c r="J21">
        <v>0</v>
      </c>
      <c r="K21" t="s">
        <v>18</v>
      </c>
      <c r="L21">
        <v>46</v>
      </c>
      <c r="M21" t="s">
        <v>18</v>
      </c>
      <c r="N21" t="str">
        <f>_xlfn.XLOOKUP(C21,agencies!A:A,agencies!B:B)</f>
        <v>Summit Insurance Group</v>
      </c>
    </row>
    <row r="22" spans="1:14" x14ac:dyDescent="0.25">
      <c r="A22" t="s">
        <v>56</v>
      </c>
      <c r="B22" t="s">
        <v>54</v>
      </c>
      <c r="C22" t="s">
        <v>15</v>
      </c>
      <c r="D22" s="1">
        <v>46235</v>
      </c>
      <c r="E22">
        <v>2565.08</v>
      </c>
      <c r="F22" s="1">
        <v>46265</v>
      </c>
      <c r="G22" t="s">
        <v>16</v>
      </c>
      <c r="H22" t="s">
        <v>20</v>
      </c>
      <c r="I22">
        <v>2565.08</v>
      </c>
      <c r="J22">
        <v>0</v>
      </c>
      <c r="K22" t="s">
        <v>18</v>
      </c>
      <c r="L22">
        <v>15</v>
      </c>
      <c r="M22" t="s">
        <v>18</v>
      </c>
      <c r="N22" t="str">
        <f>_xlfn.XLOOKUP(C22,agencies!A:A,agencies!B:B)</f>
        <v>Summit Insurance Group</v>
      </c>
    </row>
    <row r="23" spans="1:14" x14ac:dyDescent="0.25">
      <c r="A23" t="s">
        <v>57</v>
      </c>
      <c r="B23" t="s">
        <v>58</v>
      </c>
      <c r="C23" t="s">
        <v>34</v>
      </c>
      <c r="D23" s="1">
        <v>46174</v>
      </c>
      <c r="E23">
        <v>3059.33</v>
      </c>
      <c r="F23" s="1">
        <v>46204</v>
      </c>
      <c r="G23" t="s">
        <v>25</v>
      </c>
      <c r="H23" t="s">
        <v>17</v>
      </c>
      <c r="I23">
        <v>3059.33</v>
      </c>
      <c r="J23">
        <v>0</v>
      </c>
      <c r="K23" t="s">
        <v>18</v>
      </c>
      <c r="L23">
        <v>76</v>
      </c>
      <c r="M23" t="s">
        <v>18</v>
      </c>
      <c r="N23" t="str">
        <f>_xlfn.XLOOKUP(C23,agencies!A:A,agencies!B:B)</f>
        <v>Bayview Risk Advisors</v>
      </c>
    </row>
    <row r="24" spans="1:14" x14ac:dyDescent="0.25">
      <c r="A24" t="s">
        <v>59</v>
      </c>
      <c r="B24" t="s">
        <v>58</v>
      </c>
      <c r="C24" t="s">
        <v>34</v>
      </c>
      <c r="D24" s="1">
        <v>46204</v>
      </c>
      <c r="E24">
        <v>3059.33</v>
      </c>
      <c r="F24" s="1">
        <v>46234</v>
      </c>
      <c r="G24" t="s">
        <v>25</v>
      </c>
      <c r="H24" t="s">
        <v>20</v>
      </c>
      <c r="I24">
        <v>3059.33</v>
      </c>
      <c r="J24">
        <v>0</v>
      </c>
      <c r="K24" t="s">
        <v>18</v>
      </c>
      <c r="L24">
        <v>46</v>
      </c>
      <c r="M24" t="s">
        <v>18</v>
      </c>
      <c r="N24" t="str">
        <f>_xlfn.XLOOKUP(C24,agencies!A:A,agencies!B:B)</f>
        <v>Bayview Risk Advisors</v>
      </c>
    </row>
    <row r="25" spans="1:14" x14ac:dyDescent="0.25">
      <c r="A25" t="s">
        <v>60</v>
      </c>
      <c r="B25" t="s">
        <v>58</v>
      </c>
      <c r="C25" t="s">
        <v>34</v>
      </c>
      <c r="D25" s="1">
        <v>46235</v>
      </c>
      <c r="E25">
        <v>3059.33</v>
      </c>
      <c r="F25" s="1">
        <v>46265</v>
      </c>
      <c r="G25" t="s">
        <v>25</v>
      </c>
      <c r="H25" t="s">
        <v>17</v>
      </c>
      <c r="I25">
        <v>3059.33</v>
      </c>
      <c r="J25">
        <v>0</v>
      </c>
      <c r="K25" t="s">
        <v>18</v>
      </c>
      <c r="L25">
        <v>15</v>
      </c>
      <c r="M25" t="s">
        <v>18</v>
      </c>
      <c r="N25" t="str">
        <f>_xlfn.XLOOKUP(C25,agencies!A:A,agencies!B:B)</f>
        <v>Bayview Risk Advisors</v>
      </c>
    </row>
    <row r="26" spans="1:14" x14ac:dyDescent="0.25">
      <c r="A26" t="s">
        <v>61</v>
      </c>
      <c r="B26" t="s">
        <v>62</v>
      </c>
      <c r="C26" t="s">
        <v>63</v>
      </c>
      <c r="D26" s="1">
        <v>46174</v>
      </c>
      <c r="E26">
        <v>1129.08</v>
      </c>
      <c r="F26" s="1">
        <v>46204</v>
      </c>
      <c r="G26" t="s">
        <v>16</v>
      </c>
      <c r="H26" t="s">
        <v>20</v>
      </c>
      <c r="I26">
        <v>1129.08</v>
      </c>
      <c r="J26">
        <v>0</v>
      </c>
      <c r="K26" t="s">
        <v>18</v>
      </c>
      <c r="L26">
        <v>76</v>
      </c>
      <c r="M26" t="s">
        <v>18</v>
      </c>
      <c r="N26" t="str">
        <f>_xlfn.XLOOKUP(C26,agencies!A:A,agencies!B:B)</f>
        <v>Liberty Insurance Agency</v>
      </c>
    </row>
    <row r="27" spans="1:14" x14ac:dyDescent="0.25">
      <c r="A27" t="s">
        <v>64</v>
      </c>
      <c r="B27" t="s">
        <v>62</v>
      </c>
      <c r="C27" t="s">
        <v>63</v>
      </c>
      <c r="D27" s="1">
        <v>46204</v>
      </c>
      <c r="E27">
        <v>1129.08</v>
      </c>
      <c r="F27" s="1">
        <v>46234</v>
      </c>
      <c r="G27" t="s">
        <v>16</v>
      </c>
      <c r="H27" t="s">
        <v>20</v>
      </c>
      <c r="I27">
        <v>1129.08</v>
      </c>
      <c r="J27">
        <v>0</v>
      </c>
      <c r="K27" t="s">
        <v>18</v>
      </c>
      <c r="L27">
        <v>46</v>
      </c>
      <c r="M27" t="s">
        <v>18</v>
      </c>
      <c r="N27" t="str">
        <f>_xlfn.XLOOKUP(C27,agencies!A:A,agencies!B:B)</f>
        <v>Liberty Insurance Agency</v>
      </c>
    </row>
    <row r="28" spans="1:14" x14ac:dyDescent="0.25">
      <c r="A28" t="s">
        <v>65</v>
      </c>
      <c r="B28" t="s">
        <v>62</v>
      </c>
      <c r="C28" t="s">
        <v>63</v>
      </c>
      <c r="D28" s="1">
        <v>46235</v>
      </c>
      <c r="E28">
        <v>1129.08</v>
      </c>
      <c r="F28" s="1">
        <v>46265</v>
      </c>
      <c r="G28" t="s">
        <v>16</v>
      </c>
      <c r="H28" t="s">
        <v>20</v>
      </c>
      <c r="I28">
        <v>1129.08</v>
      </c>
      <c r="J28">
        <v>0</v>
      </c>
      <c r="K28" t="s">
        <v>18</v>
      </c>
      <c r="L28">
        <v>15</v>
      </c>
      <c r="M28" t="s">
        <v>18</v>
      </c>
      <c r="N28" t="str">
        <f>_xlfn.XLOOKUP(C28,agencies!A:A,agencies!B:B)</f>
        <v>Liberty Insurance Agency</v>
      </c>
    </row>
    <row r="29" spans="1:14" x14ac:dyDescent="0.25">
      <c r="A29" t="s">
        <v>66</v>
      </c>
      <c r="B29" t="s">
        <v>67</v>
      </c>
      <c r="C29" t="s">
        <v>15</v>
      </c>
      <c r="D29" s="1">
        <v>46174</v>
      </c>
      <c r="E29">
        <v>1015.42</v>
      </c>
      <c r="F29" s="1">
        <v>46204</v>
      </c>
      <c r="G29" t="s">
        <v>16</v>
      </c>
      <c r="H29" t="s">
        <v>20</v>
      </c>
      <c r="I29">
        <v>1015.42</v>
      </c>
      <c r="J29">
        <v>0</v>
      </c>
      <c r="K29" t="s">
        <v>18</v>
      </c>
      <c r="L29">
        <v>76</v>
      </c>
      <c r="M29" t="s">
        <v>18</v>
      </c>
      <c r="N29" t="str">
        <f>_xlfn.XLOOKUP(C29,agencies!A:A,agencies!B:B)</f>
        <v>Summit Insurance Group</v>
      </c>
    </row>
    <row r="30" spans="1:14" x14ac:dyDescent="0.25">
      <c r="A30" t="s">
        <v>68</v>
      </c>
      <c r="B30" t="s">
        <v>67</v>
      </c>
      <c r="C30" t="s">
        <v>15</v>
      </c>
      <c r="D30" s="1">
        <v>46204</v>
      </c>
      <c r="E30">
        <v>1015.42</v>
      </c>
      <c r="F30" s="1">
        <v>46234</v>
      </c>
      <c r="G30" t="s">
        <v>16</v>
      </c>
      <c r="H30" t="s">
        <v>20</v>
      </c>
      <c r="I30">
        <v>1015.42</v>
      </c>
      <c r="J30">
        <v>0</v>
      </c>
      <c r="K30" t="s">
        <v>18</v>
      </c>
      <c r="L30">
        <v>46</v>
      </c>
      <c r="M30" t="s">
        <v>18</v>
      </c>
      <c r="N30" t="str">
        <f>_xlfn.XLOOKUP(C30,agencies!A:A,agencies!B:B)</f>
        <v>Summit Insurance Group</v>
      </c>
    </row>
    <row r="31" spans="1:14" x14ac:dyDescent="0.25">
      <c r="A31" t="s">
        <v>69</v>
      </c>
      <c r="B31" t="s">
        <v>67</v>
      </c>
      <c r="C31" t="s">
        <v>15</v>
      </c>
      <c r="D31" s="1">
        <v>46235</v>
      </c>
      <c r="E31">
        <v>1015.42</v>
      </c>
      <c r="F31" s="1">
        <v>46265</v>
      </c>
      <c r="G31" t="s">
        <v>16</v>
      </c>
      <c r="H31" t="s">
        <v>20</v>
      </c>
      <c r="I31">
        <v>1015.42</v>
      </c>
      <c r="J31">
        <v>0</v>
      </c>
      <c r="K31" t="s">
        <v>18</v>
      </c>
      <c r="L31">
        <v>15</v>
      </c>
      <c r="M31" t="s">
        <v>18</v>
      </c>
      <c r="N31" t="str">
        <f>_xlfn.XLOOKUP(C31,agencies!A:A,agencies!B:B)</f>
        <v>Summit Insurance Group</v>
      </c>
    </row>
    <row r="32" spans="1:14" x14ac:dyDescent="0.25">
      <c r="A32" t="s">
        <v>70</v>
      </c>
      <c r="B32" t="s">
        <v>71</v>
      </c>
      <c r="C32" t="s">
        <v>72</v>
      </c>
      <c r="D32" s="1">
        <v>46174</v>
      </c>
      <c r="E32">
        <v>3507.83</v>
      </c>
      <c r="F32" s="1">
        <v>46204</v>
      </c>
      <c r="G32" t="s">
        <v>25</v>
      </c>
      <c r="H32" t="s">
        <v>20</v>
      </c>
      <c r="I32">
        <v>3507.83</v>
      </c>
      <c r="J32">
        <v>0</v>
      </c>
      <c r="K32" t="s">
        <v>18</v>
      </c>
      <c r="L32">
        <v>76</v>
      </c>
      <c r="M32" t="s">
        <v>18</v>
      </c>
      <c r="N32" t="str">
        <f>_xlfn.XLOOKUP(C32,agencies!A:A,agencies!B:B)</f>
        <v>Cardinal Insurance Group</v>
      </c>
    </row>
    <row r="33" spans="1:14" x14ac:dyDescent="0.25">
      <c r="A33" t="s">
        <v>73</v>
      </c>
      <c r="B33" t="s">
        <v>71</v>
      </c>
      <c r="C33" t="s">
        <v>72</v>
      </c>
      <c r="D33" s="1">
        <v>46204</v>
      </c>
      <c r="E33">
        <v>3507.83</v>
      </c>
      <c r="F33" s="1">
        <v>46234</v>
      </c>
      <c r="G33" t="s">
        <v>25</v>
      </c>
      <c r="H33" t="s">
        <v>26</v>
      </c>
      <c r="I33">
        <v>2162.9899999999998</v>
      </c>
      <c r="J33">
        <v>1344.84</v>
      </c>
      <c r="K33" t="s">
        <v>27</v>
      </c>
      <c r="L33">
        <v>46</v>
      </c>
      <c r="M33" t="s">
        <v>51</v>
      </c>
      <c r="N33" t="str">
        <f>_xlfn.XLOOKUP(C33,agencies!A:A,agencies!B:B)</f>
        <v>Cardinal Insurance Group</v>
      </c>
    </row>
    <row r="34" spans="1:14" x14ac:dyDescent="0.25">
      <c r="A34" t="s">
        <v>74</v>
      </c>
      <c r="B34" t="s">
        <v>71</v>
      </c>
      <c r="C34" t="s">
        <v>72</v>
      </c>
      <c r="D34" s="1">
        <v>46235</v>
      </c>
      <c r="E34">
        <v>3507.83</v>
      </c>
      <c r="F34" s="1">
        <v>46265</v>
      </c>
      <c r="G34" t="s">
        <v>25</v>
      </c>
      <c r="H34" t="s">
        <v>17</v>
      </c>
      <c r="I34">
        <v>3507.83</v>
      </c>
      <c r="J34">
        <v>0</v>
      </c>
      <c r="K34" t="s">
        <v>18</v>
      </c>
      <c r="L34">
        <v>15</v>
      </c>
      <c r="M34" t="s">
        <v>18</v>
      </c>
      <c r="N34" t="str">
        <f>_xlfn.XLOOKUP(C34,agencies!A:A,agencies!B:B)</f>
        <v>Cardinal Insurance Group</v>
      </c>
    </row>
    <row r="35" spans="1:14" x14ac:dyDescent="0.25">
      <c r="A35" t="s">
        <v>75</v>
      </c>
      <c r="B35" t="s">
        <v>76</v>
      </c>
      <c r="C35" t="s">
        <v>77</v>
      </c>
      <c r="D35" s="1">
        <v>46174</v>
      </c>
      <c r="E35">
        <v>2619.92</v>
      </c>
      <c r="F35" s="1">
        <v>46204</v>
      </c>
      <c r="G35" t="s">
        <v>49</v>
      </c>
      <c r="H35" t="s">
        <v>17</v>
      </c>
      <c r="I35">
        <v>2619.92</v>
      </c>
      <c r="J35">
        <v>0</v>
      </c>
      <c r="K35" t="s">
        <v>18</v>
      </c>
      <c r="L35">
        <v>76</v>
      </c>
      <c r="M35" t="s">
        <v>18</v>
      </c>
      <c r="N35" t="str">
        <f>_xlfn.XLOOKUP(C35,agencies!A:A,agencies!B:B)</f>
        <v>Northgate Underwriters</v>
      </c>
    </row>
    <row r="36" spans="1:14" x14ac:dyDescent="0.25">
      <c r="A36" t="s">
        <v>78</v>
      </c>
      <c r="B36" t="s">
        <v>76</v>
      </c>
      <c r="C36" t="s">
        <v>77</v>
      </c>
      <c r="D36" s="1">
        <v>46204</v>
      </c>
      <c r="E36">
        <v>2619.92</v>
      </c>
      <c r="F36" s="1">
        <v>46234</v>
      </c>
      <c r="G36" t="s">
        <v>49</v>
      </c>
      <c r="H36" t="s">
        <v>17</v>
      </c>
      <c r="I36">
        <v>0</v>
      </c>
      <c r="J36">
        <v>2619.92</v>
      </c>
      <c r="K36" t="s">
        <v>27</v>
      </c>
      <c r="L36">
        <v>46</v>
      </c>
      <c r="M36" t="s">
        <v>51</v>
      </c>
      <c r="N36" t="str">
        <f>_xlfn.XLOOKUP(C36,agencies!A:A,agencies!B:B)</f>
        <v>Northgate Underwriters</v>
      </c>
    </row>
    <row r="37" spans="1:14" x14ac:dyDescent="0.25">
      <c r="A37" t="s">
        <v>79</v>
      </c>
      <c r="B37" t="s">
        <v>76</v>
      </c>
      <c r="C37" t="s">
        <v>77</v>
      </c>
      <c r="D37" s="1">
        <v>46235</v>
      </c>
      <c r="E37">
        <v>2619.92</v>
      </c>
      <c r="F37" s="1">
        <v>46265</v>
      </c>
      <c r="G37" t="s">
        <v>49</v>
      </c>
      <c r="H37" t="s">
        <v>20</v>
      </c>
      <c r="I37">
        <v>2619.92</v>
      </c>
      <c r="J37">
        <v>0</v>
      </c>
      <c r="K37" t="s">
        <v>18</v>
      </c>
      <c r="L37">
        <v>15</v>
      </c>
      <c r="M37" t="s">
        <v>18</v>
      </c>
      <c r="N37" t="str">
        <f>_xlfn.XLOOKUP(C37,agencies!A:A,agencies!B:B)</f>
        <v>Northgate Underwriters</v>
      </c>
    </row>
    <row r="38" spans="1:14" x14ac:dyDescent="0.25">
      <c r="A38" t="s">
        <v>80</v>
      </c>
      <c r="B38" t="s">
        <v>81</v>
      </c>
      <c r="C38" t="s">
        <v>24</v>
      </c>
      <c r="D38" s="1">
        <v>46174</v>
      </c>
      <c r="E38">
        <v>3043.58</v>
      </c>
      <c r="F38" s="1">
        <v>46204</v>
      </c>
      <c r="G38" t="s">
        <v>25</v>
      </c>
      <c r="H38" t="s">
        <v>26</v>
      </c>
      <c r="I38">
        <v>2447.69</v>
      </c>
      <c r="J38">
        <v>595.89</v>
      </c>
      <c r="K38" t="s">
        <v>27</v>
      </c>
      <c r="L38">
        <v>76</v>
      </c>
      <c r="M38" t="s">
        <v>28</v>
      </c>
      <c r="N38" t="str">
        <f>_xlfn.XLOOKUP(C38,agencies!A:A,agencies!B:B)</f>
        <v>Ironwood Insurance Agency</v>
      </c>
    </row>
    <row r="39" spans="1:14" x14ac:dyDescent="0.25">
      <c r="A39" t="s">
        <v>82</v>
      </c>
      <c r="B39" t="s">
        <v>81</v>
      </c>
      <c r="C39" t="s">
        <v>24</v>
      </c>
      <c r="D39" s="1">
        <v>46204</v>
      </c>
      <c r="E39">
        <v>3043.58</v>
      </c>
      <c r="F39" s="1">
        <v>46234</v>
      </c>
      <c r="G39" t="s">
        <v>25</v>
      </c>
      <c r="H39" t="s">
        <v>17</v>
      </c>
      <c r="I39">
        <v>3043.58</v>
      </c>
      <c r="J39">
        <v>0</v>
      </c>
      <c r="K39" t="s">
        <v>18</v>
      </c>
      <c r="L39">
        <v>46</v>
      </c>
      <c r="M39" t="s">
        <v>18</v>
      </c>
      <c r="N39" t="str">
        <f>_xlfn.XLOOKUP(C39,agencies!A:A,agencies!B:B)</f>
        <v>Ironwood Insurance Agency</v>
      </c>
    </row>
    <row r="40" spans="1:14" x14ac:dyDescent="0.25">
      <c r="A40" t="s">
        <v>83</v>
      </c>
      <c r="B40" t="s">
        <v>81</v>
      </c>
      <c r="C40" t="s">
        <v>24</v>
      </c>
      <c r="D40" s="1">
        <v>46235</v>
      </c>
      <c r="E40">
        <v>3043.58</v>
      </c>
      <c r="F40" s="1">
        <v>46265</v>
      </c>
      <c r="G40" t="s">
        <v>25</v>
      </c>
      <c r="H40" t="s">
        <v>17</v>
      </c>
      <c r="I40">
        <v>0</v>
      </c>
      <c r="J40">
        <v>3043.58</v>
      </c>
      <c r="K40" t="s">
        <v>27</v>
      </c>
      <c r="L40">
        <v>15</v>
      </c>
      <c r="M40" t="s">
        <v>31</v>
      </c>
      <c r="N40" t="str">
        <f>_xlfn.XLOOKUP(C40,agencies!A:A,agencies!B:B)</f>
        <v>Ironwood Insurance Agency</v>
      </c>
    </row>
    <row r="41" spans="1:14" x14ac:dyDescent="0.25">
      <c r="A41" t="s">
        <v>84</v>
      </c>
      <c r="B41" t="s">
        <v>85</v>
      </c>
      <c r="C41" t="s">
        <v>24</v>
      </c>
      <c r="D41" s="1">
        <v>46174</v>
      </c>
      <c r="E41">
        <v>3942.5</v>
      </c>
      <c r="F41" s="1">
        <v>46204</v>
      </c>
      <c r="G41" t="s">
        <v>25</v>
      </c>
      <c r="H41" t="s">
        <v>20</v>
      </c>
      <c r="I41">
        <v>3942.5</v>
      </c>
      <c r="J41">
        <v>0</v>
      </c>
      <c r="K41" t="s">
        <v>18</v>
      </c>
      <c r="L41">
        <v>76</v>
      </c>
      <c r="M41" t="s">
        <v>18</v>
      </c>
      <c r="N41" t="str">
        <f>_xlfn.XLOOKUP(C41,agencies!A:A,agencies!B:B)</f>
        <v>Ironwood Insurance Agency</v>
      </c>
    </row>
    <row r="42" spans="1:14" x14ac:dyDescent="0.25">
      <c r="A42" t="s">
        <v>86</v>
      </c>
      <c r="B42" t="s">
        <v>85</v>
      </c>
      <c r="C42" t="s">
        <v>24</v>
      </c>
      <c r="D42" s="1">
        <v>46204</v>
      </c>
      <c r="E42">
        <v>3942.5</v>
      </c>
      <c r="F42" s="1">
        <v>46234</v>
      </c>
      <c r="G42" t="s">
        <v>25</v>
      </c>
      <c r="H42" t="s">
        <v>17</v>
      </c>
      <c r="I42">
        <v>0</v>
      </c>
      <c r="J42">
        <v>3942.5</v>
      </c>
      <c r="K42" t="s">
        <v>27</v>
      </c>
      <c r="L42">
        <v>46</v>
      </c>
      <c r="M42" t="s">
        <v>51</v>
      </c>
      <c r="N42" t="str">
        <f>_xlfn.XLOOKUP(C42,agencies!A:A,agencies!B:B)</f>
        <v>Ironwood Insurance Agency</v>
      </c>
    </row>
    <row r="43" spans="1:14" x14ac:dyDescent="0.25">
      <c r="A43" t="s">
        <v>87</v>
      </c>
      <c r="B43" t="s">
        <v>85</v>
      </c>
      <c r="C43" t="s">
        <v>24</v>
      </c>
      <c r="D43" s="1">
        <v>46235</v>
      </c>
      <c r="E43">
        <v>3942.5</v>
      </c>
      <c r="F43" s="1">
        <v>46265</v>
      </c>
      <c r="G43" t="s">
        <v>25</v>
      </c>
      <c r="H43" t="s">
        <v>17</v>
      </c>
      <c r="I43">
        <v>0</v>
      </c>
      <c r="J43">
        <v>3942.5</v>
      </c>
      <c r="K43" t="s">
        <v>27</v>
      </c>
      <c r="L43">
        <v>15</v>
      </c>
      <c r="M43" t="s">
        <v>31</v>
      </c>
      <c r="N43" t="str">
        <f>_xlfn.XLOOKUP(C43,agencies!A:A,agencies!B:B)</f>
        <v>Ironwood Insurance Agency</v>
      </c>
    </row>
    <row r="44" spans="1:14" x14ac:dyDescent="0.25">
      <c r="A44" t="s">
        <v>88</v>
      </c>
      <c r="B44" t="s">
        <v>89</v>
      </c>
      <c r="C44" t="s">
        <v>24</v>
      </c>
      <c r="D44" s="1">
        <v>46174</v>
      </c>
      <c r="E44">
        <v>3356.25</v>
      </c>
      <c r="F44" s="1">
        <v>46204</v>
      </c>
      <c r="G44" t="s">
        <v>25</v>
      </c>
      <c r="H44" t="s">
        <v>26</v>
      </c>
      <c r="I44">
        <v>2894.77</v>
      </c>
      <c r="J44">
        <v>461.48</v>
      </c>
      <c r="K44" t="s">
        <v>27</v>
      </c>
      <c r="L44">
        <v>76</v>
      </c>
      <c r="M44" t="s">
        <v>28</v>
      </c>
      <c r="N44" t="str">
        <f>_xlfn.XLOOKUP(C44,agencies!A:A,agencies!B:B)</f>
        <v>Ironwood Insurance Agency</v>
      </c>
    </row>
    <row r="45" spans="1:14" x14ac:dyDescent="0.25">
      <c r="A45" t="s">
        <v>90</v>
      </c>
      <c r="B45" t="s">
        <v>89</v>
      </c>
      <c r="C45" t="s">
        <v>24</v>
      </c>
      <c r="D45" s="1">
        <v>46204</v>
      </c>
      <c r="E45">
        <v>3356.25</v>
      </c>
      <c r="F45" s="1">
        <v>46234</v>
      </c>
      <c r="G45" t="s">
        <v>25</v>
      </c>
      <c r="H45" t="s">
        <v>17</v>
      </c>
      <c r="I45">
        <v>3356.25</v>
      </c>
      <c r="J45">
        <v>0</v>
      </c>
      <c r="K45" t="s">
        <v>18</v>
      </c>
      <c r="L45">
        <v>46</v>
      </c>
      <c r="M45" t="s">
        <v>18</v>
      </c>
      <c r="N45" t="str">
        <f>_xlfn.XLOOKUP(C45,agencies!A:A,agencies!B:B)</f>
        <v>Ironwood Insurance Agency</v>
      </c>
    </row>
    <row r="46" spans="1:14" x14ac:dyDescent="0.25">
      <c r="A46" t="s">
        <v>91</v>
      </c>
      <c r="B46" t="s">
        <v>89</v>
      </c>
      <c r="C46" t="s">
        <v>24</v>
      </c>
      <c r="D46" s="1">
        <v>46235</v>
      </c>
      <c r="E46">
        <v>3356.25</v>
      </c>
      <c r="F46" s="1">
        <v>46265</v>
      </c>
      <c r="G46" t="s">
        <v>25</v>
      </c>
      <c r="H46" t="s">
        <v>17</v>
      </c>
      <c r="I46">
        <v>0</v>
      </c>
      <c r="J46">
        <v>3356.25</v>
      </c>
      <c r="K46" t="s">
        <v>27</v>
      </c>
      <c r="L46">
        <v>15</v>
      </c>
      <c r="M46" t="s">
        <v>31</v>
      </c>
      <c r="N46" t="str">
        <f>_xlfn.XLOOKUP(C46,agencies!A:A,agencies!B:B)</f>
        <v>Ironwood Insurance Agency</v>
      </c>
    </row>
    <row r="47" spans="1:14" x14ac:dyDescent="0.25">
      <c r="A47" t="s">
        <v>92</v>
      </c>
      <c r="B47" t="s">
        <v>93</v>
      </c>
      <c r="C47" t="s">
        <v>24</v>
      </c>
      <c r="D47" s="1">
        <v>46174</v>
      </c>
      <c r="E47">
        <v>2991.08</v>
      </c>
      <c r="F47" s="1">
        <v>46204</v>
      </c>
      <c r="G47" t="s">
        <v>25</v>
      </c>
      <c r="H47" t="s">
        <v>20</v>
      </c>
      <c r="I47">
        <v>2991.08</v>
      </c>
      <c r="J47">
        <v>0</v>
      </c>
      <c r="K47" t="s">
        <v>18</v>
      </c>
      <c r="L47">
        <v>76</v>
      </c>
      <c r="M47" t="s">
        <v>18</v>
      </c>
      <c r="N47" t="str">
        <f>_xlfn.XLOOKUP(C47,agencies!A:A,agencies!B:B)</f>
        <v>Ironwood Insurance Agency</v>
      </c>
    </row>
    <row r="48" spans="1:14" x14ac:dyDescent="0.25">
      <c r="A48" t="s">
        <v>94</v>
      </c>
      <c r="B48" t="s">
        <v>93</v>
      </c>
      <c r="C48" t="s">
        <v>24</v>
      </c>
      <c r="D48" s="1">
        <v>46204</v>
      </c>
      <c r="E48">
        <v>2991.08</v>
      </c>
      <c r="F48" s="1">
        <v>46234</v>
      </c>
      <c r="G48" t="s">
        <v>25</v>
      </c>
      <c r="H48" t="s">
        <v>20</v>
      </c>
      <c r="I48">
        <v>2991.08</v>
      </c>
      <c r="J48">
        <v>0</v>
      </c>
      <c r="K48" t="s">
        <v>18</v>
      </c>
      <c r="L48">
        <v>46</v>
      </c>
      <c r="M48" t="s">
        <v>18</v>
      </c>
      <c r="N48" t="str">
        <f>_xlfn.XLOOKUP(C48,agencies!A:A,agencies!B:B)</f>
        <v>Ironwood Insurance Agency</v>
      </c>
    </row>
    <row r="49" spans="1:14" x14ac:dyDescent="0.25">
      <c r="A49" t="s">
        <v>95</v>
      </c>
      <c r="B49" t="s">
        <v>93</v>
      </c>
      <c r="C49" t="s">
        <v>24</v>
      </c>
      <c r="D49" s="1">
        <v>46235</v>
      </c>
      <c r="E49">
        <v>2991.08</v>
      </c>
      <c r="F49" s="1">
        <v>46265</v>
      </c>
      <c r="G49" t="s">
        <v>25</v>
      </c>
      <c r="H49" t="s">
        <v>17</v>
      </c>
      <c r="I49">
        <v>2991.08</v>
      </c>
      <c r="J49">
        <v>0</v>
      </c>
      <c r="K49" t="s">
        <v>18</v>
      </c>
      <c r="L49">
        <v>15</v>
      </c>
      <c r="M49" t="s">
        <v>18</v>
      </c>
      <c r="N49" t="str">
        <f>_xlfn.XLOOKUP(C49,agencies!A:A,agencies!B:B)</f>
        <v>Ironwood Insurance Agency</v>
      </c>
    </row>
    <row r="50" spans="1:14" x14ac:dyDescent="0.25">
      <c r="A50" t="s">
        <v>96</v>
      </c>
      <c r="B50" t="s">
        <v>97</v>
      </c>
      <c r="C50" t="s">
        <v>72</v>
      </c>
      <c r="D50" s="1">
        <v>46174</v>
      </c>
      <c r="E50">
        <v>3016.42</v>
      </c>
      <c r="F50" s="1">
        <v>46204</v>
      </c>
      <c r="G50" t="s">
        <v>25</v>
      </c>
      <c r="H50" t="s">
        <v>17</v>
      </c>
      <c r="I50">
        <v>3016.42</v>
      </c>
      <c r="J50">
        <v>0</v>
      </c>
      <c r="K50" t="s">
        <v>18</v>
      </c>
      <c r="L50">
        <v>76</v>
      </c>
      <c r="M50" t="s">
        <v>18</v>
      </c>
      <c r="N50" t="str">
        <f>_xlfn.XLOOKUP(C50,agencies!A:A,agencies!B:B)</f>
        <v>Cardinal Insurance Group</v>
      </c>
    </row>
    <row r="51" spans="1:14" x14ac:dyDescent="0.25">
      <c r="A51" t="s">
        <v>98</v>
      </c>
      <c r="B51" t="s">
        <v>97</v>
      </c>
      <c r="C51" t="s">
        <v>72</v>
      </c>
      <c r="D51" s="1">
        <v>46204</v>
      </c>
      <c r="E51">
        <v>3016.42</v>
      </c>
      <c r="F51" s="1">
        <v>46234</v>
      </c>
      <c r="G51" t="s">
        <v>25</v>
      </c>
      <c r="H51" t="s">
        <v>20</v>
      </c>
      <c r="I51">
        <v>3016.42</v>
      </c>
      <c r="J51">
        <v>0</v>
      </c>
      <c r="K51" t="s">
        <v>18</v>
      </c>
      <c r="L51">
        <v>46</v>
      </c>
      <c r="M51" t="s">
        <v>18</v>
      </c>
      <c r="N51" t="str">
        <f>_xlfn.XLOOKUP(C51,agencies!A:A,agencies!B:B)</f>
        <v>Cardinal Insurance Group</v>
      </c>
    </row>
    <row r="52" spans="1:14" x14ac:dyDescent="0.25">
      <c r="A52" t="s">
        <v>99</v>
      </c>
      <c r="B52" t="s">
        <v>97</v>
      </c>
      <c r="C52" t="s">
        <v>72</v>
      </c>
      <c r="D52" s="1">
        <v>46235</v>
      </c>
      <c r="E52">
        <v>3016.42</v>
      </c>
      <c r="F52" s="1">
        <v>46265</v>
      </c>
      <c r="G52" t="s">
        <v>25</v>
      </c>
      <c r="H52" t="s">
        <v>17</v>
      </c>
      <c r="I52">
        <v>0</v>
      </c>
      <c r="J52">
        <v>3016.42</v>
      </c>
      <c r="K52" t="s">
        <v>27</v>
      </c>
      <c r="L52">
        <v>15</v>
      </c>
      <c r="M52" t="s">
        <v>31</v>
      </c>
      <c r="N52" t="str">
        <f>_xlfn.XLOOKUP(C52,agencies!A:A,agencies!B:B)</f>
        <v>Cardinal Insurance Group</v>
      </c>
    </row>
    <row r="53" spans="1:14" x14ac:dyDescent="0.25">
      <c r="A53" t="s">
        <v>100</v>
      </c>
      <c r="B53" t="s">
        <v>101</v>
      </c>
      <c r="C53" t="s">
        <v>102</v>
      </c>
      <c r="D53" s="1">
        <v>46174</v>
      </c>
      <c r="E53">
        <v>1867.75</v>
      </c>
      <c r="F53" s="1">
        <v>46204</v>
      </c>
      <c r="G53" t="s">
        <v>16</v>
      </c>
      <c r="H53" t="s">
        <v>17</v>
      </c>
      <c r="I53">
        <v>1867.75</v>
      </c>
      <c r="J53">
        <v>0</v>
      </c>
      <c r="K53" t="s">
        <v>18</v>
      </c>
      <c r="L53">
        <v>76</v>
      </c>
      <c r="M53" t="s">
        <v>18</v>
      </c>
      <c r="N53" t="str">
        <f>_xlfn.XLOOKUP(C53,agencies!A:A,agencies!B:B)</f>
        <v>Harbor Risk Advisors</v>
      </c>
    </row>
    <row r="54" spans="1:14" x14ac:dyDescent="0.25">
      <c r="A54" t="s">
        <v>103</v>
      </c>
      <c r="B54" t="s">
        <v>101</v>
      </c>
      <c r="C54" t="s">
        <v>102</v>
      </c>
      <c r="D54" s="1">
        <v>46204</v>
      </c>
      <c r="E54">
        <v>1867.75</v>
      </c>
      <c r="F54" s="1">
        <v>46234</v>
      </c>
      <c r="G54" t="s">
        <v>16</v>
      </c>
      <c r="H54" t="s">
        <v>20</v>
      </c>
      <c r="I54">
        <v>1867.75</v>
      </c>
      <c r="J54">
        <v>0</v>
      </c>
      <c r="K54" t="s">
        <v>18</v>
      </c>
      <c r="L54">
        <v>46</v>
      </c>
      <c r="M54" t="s">
        <v>18</v>
      </c>
      <c r="N54" t="str">
        <f>_xlfn.XLOOKUP(C54,agencies!A:A,agencies!B:B)</f>
        <v>Harbor Risk Advisors</v>
      </c>
    </row>
    <row r="55" spans="1:14" x14ac:dyDescent="0.25">
      <c r="A55" t="s">
        <v>104</v>
      </c>
      <c r="B55" t="s">
        <v>101</v>
      </c>
      <c r="C55" t="s">
        <v>102</v>
      </c>
      <c r="D55" s="1">
        <v>46235</v>
      </c>
      <c r="E55">
        <v>1867.75</v>
      </c>
      <c r="F55" s="1">
        <v>46265</v>
      </c>
      <c r="G55" t="s">
        <v>16</v>
      </c>
      <c r="H55" t="s">
        <v>20</v>
      </c>
      <c r="I55">
        <v>1867.75</v>
      </c>
      <c r="J55">
        <v>0</v>
      </c>
      <c r="K55" t="s">
        <v>18</v>
      </c>
      <c r="L55">
        <v>15</v>
      </c>
      <c r="M55" t="s">
        <v>18</v>
      </c>
      <c r="N55" t="str">
        <f>_xlfn.XLOOKUP(C55,agencies!A:A,agencies!B:B)</f>
        <v>Harbor Risk Advisors</v>
      </c>
    </row>
    <row r="56" spans="1:14" x14ac:dyDescent="0.25">
      <c r="A56" t="s">
        <v>105</v>
      </c>
      <c r="B56" t="s">
        <v>106</v>
      </c>
      <c r="C56" t="s">
        <v>48</v>
      </c>
      <c r="D56" s="1">
        <v>46174</v>
      </c>
      <c r="E56">
        <v>638.66999999999996</v>
      </c>
      <c r="F56" s="1">
        <v>46204</v>
      </c>
      <c r="G56" t="s">
        <v>49</v>
      </c>
      <c r="H56" t="s">
        <v>20</v>
      </c>
      <c r="I56">
        <v>638.66999999999996</v>
      </c>
      <c r="J56">
        <v>0</v>
      </c>
      <c r="K56" t="s">
        <v>18</v>
      </c>
      <c r="L56">
        <v>76</v>
      </c>
      <c r="M56" t="s">
        <v>18</v>
      </c>
      <c r="N56" t="str">
        <f>_xlfn.XLOOKUP(C56,agencies!A:A,agencies!B:B)</f>
        <v>Sterling Benefits &amp; Risk</v>
      </c>
    </row>
    <row r="57" spans="1:14" x14ac:dyDescent="0.25">
      <c r="A57" t="s">
        <v>107</v>
      </c>
      <c r="B57" t="s">
        <v>106</v>
      </c>
      <c r="C57" t="s">
        <v>48</v>
      </c>
      <c r="D57" s="1">
        <v>46204</v>
      </c>
      <c r="E57">
        <v>638.66999999999996</v>
      </c>
      <c r="F57" s="1">
        <v>46234</v>
      </c>
      <c r="G57" t="s">
        <v>49</v>
      </c>
      <c r="H57" t="s">
        <v>26</v>
      </c>
      <c r="I57">
        <v>462.96</v>
      </c>
      <c r="J57">
        <v>175.71</v>
      </c>
      <c r="K57" t="s">
        <v>27</v>
      </c>
      <c r="L57">
        <v>46</v>
      </c>
      <c r="M57" t="s">
        <v>51</v>
      </c>
      <c r="N57" t="str">
        <f>_xlfn.XLOOKUP(C57,agencies!A:A,agencies!B:B)</f>
        <v>Sterling Benefits &amp; Risk</v>
      </c>
    </row>
    <row r="58" spans="1:14" x14ac:dyDescent="0.25">
      <c r="A58" t="s">
        <v>108</v>
      </c>
      <c r="B58" t="s">
        <v>106</v>
      </c>
      <c r="C58" t="s">
        <v>48</v>
      </c>
      <c r="D58" s="1">
        <v>46235</v>
      </c>
      <c r="E58">
        <v>638.66999999999996</v>
      </c>
      <c r="F58" s="1">
        <v>46265</v>
      </c>
      <c r="G58" t="s">
        <v>49</v>
      </c>
      <c r="H58" t="s">
        <v>17</v>
      </c>
      <c r="I58">
        <v>0</v>
      </c>
      <c r="J58">
        <v>638.66999999999996</v>
      </c>
      <c r="K58" t="s">
        <v>27</v>
      </c>
      <c r="L58">
        <v>15</v>
      </c>
      <c r="M58" t="s">
        <v>31</v>
      </c>
      <c r="N58" t="str">
        <f>_xlfn.XLOOKUP(C58,agencies!A:A,agencies!B:B)</f>
        <v>Sterling Benefits &amp; Risk</v>
      </c>
    </row>
    <row r="59" spans="1:14" x14ac:dyDescent="0.25">
      <c r="A59" t="s">
        <v>109</v>
      </c>
      <c r="B59" t="s">
        <v>110</v>
      </c>
      <c r="C59" t="s">
        <v>39</v>
      </c>
      <c r="D59" s="1">
        <v>46174</v>
      </c>
      <c r="E59">
        <v>2465.25</v>
      </c>
      <c r="F59" s="1">
        <v>46204</v>
      </c>
      <c r="G59" t="s">
        <v>16</v>
      </c>
      <c r="H59" t="s">
        <v>20</v>
      </c>
      <c r="I59">
        <v>2465.25</v>
      </c>
      <c r="J59">
        <v>0</v>
      </c>
      <c r="K59" t="s">
        <v>18</v>
      </c>
      <c r="L59">
        <v>76</v>
      </c>
      <c r="M59" t="s">
        <v>18</v>
      </c>
      <c r="N59" t="str">
        <f>_xlfn.XLOOKUP(C59,agencies!A:A,agencies!B:B)</f>
        <v>Pioneer Underwriters</v>
      </c>
    </row>
    <row r="60" spans="1:14" x14ac:dyDescent="0.25">
      <c r="A60" t="s">
        <v>111</v>
      </c>
      <c r="B60" t="s">
        <v>110</v>
      </c>
      <c r="C60" t="s">
        <v>39</v>
      </c>
      <c r="D60" s="1">
        <v>46204</v>
      </c>
      <c r="E60">
        <v>2465.25</v>
      </c>
      <c r="F60" s="1">
        <v>46234</v>
      </c>
      <c r="G60" t="s">
        <v>16</v>
      </c>
      <c r="H60" t="s">
        <v>20</v>
      </c>
      <c r="I60">
        <v>2465.25</v>
      </c>
      <c r="J60">
        <v>0</v>
      </c>
      <c r="K60" t="s">
        <v>18</v>
      </c>
      <c r="L60">
        <v>46</v>
      </c>
      <c r="M60" t="s">
        <v>18</v>
      </c>
      <c r="N60" t="str">
        <f>_xlfn.XLOOKUP(C60,agencies!A:A,agencies!B:B)</f>
        <v>Pioneer Underwriters</v>
      </c>
    </row>
    <row r="61" spans="1:14" x14ac:dyDescent="0.25">
      <c r="A61" t="s">
        <v>112</v>
      </c>
      <c r="B61" t="s">
        <v>110</v>
      </c>
      <c r="C61" t="s">
        <v>39</v>
      </c>
      <c r="D61" s="1">
        <v>46235</v>
      </c>
      <c r="E61">
        <v>2465.25</v>
      </c>
      <c r="F61" s="1">
        <v>46265</v>
      </c>
      <c r="G61" t="s">
        <v>16</v>
      </c>
      <c r="H61" t="s">
        <v>20</v>
      </c>
      <c r="I61">
        <v>2465.25</v>
      </c>
      <c r="J61">
        <v>0</v>
      </c>
      <c r="K61" t="s">
        <v>18</v>
      </c>
      <c r="L61">
        <v>15</v>
      </c>
      <c r="M61" t="s">
        <v>18</v>
      </c>
      <c r="N61" t="str">
        <f>_xlfn.XLOOKUP(C61,agencies!A:A,agencies!B:B)</f>
        <v>Pioneer Underwriters</v>
      </c>
    </row>
    <row r="62" spans="1:14" x14ac:dyDescent="0.25">
      <c r="A62" t="s">
        <v>113</v>
      </c>
      <c r="B62" t="s">
        <v>114</v>
      </c>
      <c r="C62" t="s">
        <v>72</v>
      </c>
      <c r="D62" s="1">
        <v>46174</v>
      </c>
      <c r="E62">
        <v>1465.67</v>
      </c>
      <c r="F62" s="1">
        <v>46204</v>
      </c>
      <c r="G62" t="s">
        <v>25</v>
      </c>
      <c r="H62" t="s">
        <v>20</v>
      </c>
      <c r="I62">
        <v>1465.67</v>
      </c>
      <c r="J62">
        <v>0</v>
      </c>
      <c r="K62" t="s">
        <v>18</v>
      </c>
      <c r="L62">
        <v>76</v>
      </c>
      <c r="M62" t="s">
        <v>18</v>
      </c>
      <c r="N62" t="str">
        <f>_xlfn.XLOOKUP(C62,agencies!A:A,agencies!B:B)</f>
        <v>Cardinal Insurance Group</v>
      </c>
    </row>
    <row r="63" spans="1:14" x14ac:dyDescent="0.25">
      <c r="A63" t="s">
        <v>115</v>
      </c>
      <c r="B63" t="s">
        <v>114</v>
      </c>
      <c r="C63" t="s">
        <v>72</v>
      </c>
      <c r="D63" s="1">
        <v>46204</v>
      </c>
      <c r="E63">
        <v>1465.67</v>
      </c>
      <c r="F63" s="1">
        <v>46234</v>
      </c>
      <c r="G63" t="s">
        <v>25</v>
      </c>
      <c r="H63" t="s">
        <v>26</v>
      </c>
      <c r="I63">
        <v>924.11</v>
      </c>
      <c r="J63">
        <v>541.55999999999995</v>
      </c>
      <c r="K63" t="s">
        <v>27</v>
      </c>
      <c r="L63">
        <v>46</v>
      </c>
      <c r="M63" t="s">
        <v>51</v>
      </c>
      <c r="N63" t="str">
        <f>_xlfn.XLOOKUP(C63,agencies!A:A,agencies!B:B)</f>
        <v>Cardinal Insurance Group</v>
      </c>
    </row>
    <row r="64" spans="1:14" x14ac:dyDescent="0.25">
      <c r="A64" t="s">
        <v>116</v>
      </c>
      <c r="B64" t="s">
        <v>114</v>
      </c>
      <c r="C64" t="s">
        <v>72</v>
      </c>
      <c r="D64" s="1">
        <v>46235</v>
      </c>
      <c r="E64">
        <v>1465.67</v>
      </c>
      <c r="F64" s="1">
        <v>46265</v>
      </c>
      <c r="G64" t="s">
        <v>25</v>
      </c>
      <c r="H64" t="s">
        <v>20</v>
      </c>
      <c r="I64">
        <v>1465.67</v>
      </c>
      <c r="J64">
        <v>0</v>
      </c>
      <c r="K64" t="s">
        <v>18</v>
      </c>
      <c r="L64">
        <v>15</v>
      </c>
      <c r="M64" t="s">
        <v>18</v>
      </c>
      <c r="N64" t="str">
        <f>_xlfn.XLOOKUP(C64,agencies!A:A,agencies!B:B)</f>
        <v>Cardinal Insurance Group</v>
      </c>
    </row>
    <row r="65" spans="1:14" x14ac:dyDescent="0.25">
      <c r="A65" t="s">
        <v>117</v>
      </c>
      <c r="B65" t="s">
        <v>118</v>
      </c>
      <c r="C65" t="s">
        <v>119</v>
      </c>
      <c r="D65" s="1">
        <v>46174</v>
      </c>
      <c r="E65">
        <v>2338.42</v>
      </c>
      <c r="F65" s="1">
        <v>46204</v>
      </c>
      <c r="G65" t="s">
        <v>16</v>
      </c>
      <c r="H65" t="s">
        <v>20</v>
      </c>
      <c r="I65">
        <v>2338.42</v>
      </c>
      <c r="J65">
        <v>0</v>
      </c>
      <c r="K65" t="s">
        <v>18</v>
      </c>
      <c r="L65">
        <v>76</v>
      </c>
      <c r="M65" t="s">
        <v>18</v>
      </c>
      <c r="N65" t="str">
        <f>_xlfn.XLOOKUP(C65,agencies!A:A,agencies!B:B)</f>
        <v>Keystone Benefits &amp; Risk</v>
      </c>
    </row>
    <row r="66" spans="1:14" x14ac:dyDescent="0.25">
      <c r="A66" t="s">
        <v>120</v>
      </c>
      <c r="B66" t="s">
        <v>118</v>
      </c>
      <c r="C66" t="s">
        <v>119</v>
      </c>
      <c r="D66" s="1">
        <v>46204</v>
      </c>
      <c r="E66">
        <v>2338.42</v>
      </c>
      <c r="F66" s="1">
        <v>46234</v>
      </c>
      <c r="G66" t="s">
        <v>16</v>
      </c>
      <c r="H66" t="s">
        <v>20</v>
      </c>
      <c r="I66">
        <v>2338.42</v>
      </c>
      <c r="J66">
        <v>0</v>
      </c>
      <c r="K66" t="s">
        <v>18</v>
      </c>
      <c r="L66">
        <v>46</v>
      </c>
      <c r="M66" t="s">
        <v>18</v>
      </c>
      <c r="N66" t="str">
        <f>_xlfn.XLOOKUP(C66,agencies!A:A,agencies!B:B)</f>
        <v>Keystone Benefits &amp; Risk</v>
      </c>
    </row>
    <row r="67" spans="1:14" x14ac:dyDescent="0.25">
      <c r="A67" t="s">
        <v>121</v>
      </c>
      <c r="B67" t="s">
        <v>118</v>
      </c>
      <c r="C67" t="s">
        <v>119</v>
      </c>
      <c r="D67" s="1">
        <v>46235</v>
      </c>
      <c r="E67">
        <v>2338.42</v>
      </c>
      <c r="F67" s="1">
        <v>46265</v>
      </c>
      <c r="G67" t="s">
        <v>16</v>
      </c>
      <c r="H67" t="s">
        <v>20</v>
      </c>
      <c r="I67">
        <v>2338.42</v>
      </c>
      <c r="J67">
        <v>0</v>
      </c>
      <c r="K67" t="s">
        <v>18</v>
      </c>
      <c r="L67">
        <v>15</v>
      </c>
      <c r="M67" t="s">
        <v>18</v>
      </c>
      <c r="N67" t="str">
        <f>_xlfn.XLOOKUP(C67,agencies!A:A,agencies!B:B)</f>
        <v>Keystone Benefits &amp; Risk</v>
      </c>
    </row>
    <row r="68" spans="1:14" x14ac:dyDescent="0.25">
      <c r="A68" t="s">
        <v>122</v>
      </c>
      <c r="B68" t="s">
        <v>123</v>
      </c>
      <c r="C68" t="s">
        <v>102</v>
      </c>
      <c r="D68" s="1">
        <v>46174</v>
      </c>
      <c r="E68">
        <v>4340.33</v>
      </c>
      <c r="F68" s="1">
        <v>46204</v>
      </c>
      <c r="G68" t="s">
        <v>16</v>
      </c>
      <c r="H68" t="s">
        <v>20</v>
      </c>
      <c r="I68">
        <v>4340.33</v>
      </c>
      <c r="J68">
        <v>0</v>
      </c>
      <c r="K68" t="s">
        <v>18</v>
      </c>
      <c r="L68">
        <v>76</v>
      </c>
      <c r="M68" t="s">
        <v>18</v>
      </c>
      <c r="N68" t="str">
        <f>_xlfn.XLOOKUP(C68,agencies!A:A,agencies!B:B)</f>
        <v>Harbor Risk Advisors</v>
      </c>
    </row>
    <row r="69" spans="1:14" x14ac:dyDescent="0.25">
      <c r="A69" t="s">
        <v>124</v>
      </c>
      <c r="B69" t="s">
        <v>123</v>
      </c>
      <c r="C69" t="s">
        <v>102</v>
      </c>
      <c r="D69" s="1">
        <v>46204</v>
      </c>
      <c r="E69">
        <v>4340.33</v>
      </c>
      <c r="F69" s="1">
        <v>46234</v>
      </c>
      <c r="G69" t="s">
        <v>16</v>
      </c>
      <c r="H69" t="s">
        <v>20</v>
      </c>
      <c r="I69">
        <v>4340.33</v>
      </c>
      <c r="J69">
        <v>0</v>
      </c>
      <c r="K69" t="s">
        <v>18</v>
      </c>
      <c r="L69">
        <v>46</v>
      </c>
      <c r="M69" t="s">
        <v>18</v>
      </c>
      <c r="N69" t="str">
        <f>_xlfn.XLOOKUP(C69,agencies!A:A,agencies!B:B)</f>
        <v>Harbor Risk Advisors</v>
      </c>
    </row>
    <row r="70" spans="1:14" x14ac:dyDescent="0.25">
      <c r="A70" t="s">
        <v>125</v>
      </c>
      <c r="B70" t="s">
        <v>123</v>
      </c>
      <c r="C70" t="s">
        <v>102</v>
      </c>
      <c r="D70" s="1">
        <v>46235</v>
      </c>
      <c r="E70">
        <v>4340.33</v>
      </c>
      <c r="F70" s="1">
        <v>46265</v>
      </c>
      <c r="G70" t="s">
        <v>16</v>
      </c>
      <c r="H70" t="s">
        <v>20</v>
      </c>
      <c r="I70">
        <v>4340.33</v>
      </c>
      <c r="J70">
        <v>0</v>
      </c>
      <c r="K70" t="s">
        <v>18</v>
      </c>
      <c r="L70">
        <v>15</v>
      </c>
      <c r="M70" t="s">
        <v>18</v>
      </c>
      <c r="N70" t="str">
        <f>_xlfn.XLOOKUP(C70,agencies!A:A,agencies!B:B)</f>
        <v>Harbor Risk Advisors</v>
      </c>
    </row>
    <row r="71" spans="1:14" x14ac:dyDescent="0.25">
      <c r="A71" t="s">
        <v>126</v>
      </c>
      <c r="B71" t="s">
        <v>127</v>
      </c>
      <c r="C71" t="s">
        <v>77</v>
      </c>
      <c r="D71" s="1">
        <v>46174</v>
      </c>
      <c r="E71">
        <v>1552.75</v>
      </c>
      <c r="F71" s="1">
        <v>46204</v>
      </c>
      <c r="G71" t="s">
        <v>49</v>
      </c>
      <c r="H71" t="s">
        <v>26</v>
      </c>
      <c r="I71">
        <v>1324.61</v>
      </c>
      <c r="J71">
        <v>228.14</v>
      </c>
      <c r="K71" t="s">
        <v>27</v>
      </c>
      <c r="L71">
        <v>76</v>
      </c>
      <c r="M71" t="s">
        <v>28</v>
      </c>
      <c r="N71" t="str">
        <f>_xlfn.XLOOKUP(C71,agencies!A:A,agencies!B:B)</f>
        <v>Northgate Underwriters</v>
      </c>
    </row>
    <row r="72" spans="1:14" x14ac:dyDescent="0.25">
      <c r="A72" t="s">
        <v>128</v>
      </c>
      <c r="B72" t="s">
        <v>127</v>
      </c>
      <c r="C72" t="s">
        <v>77</v>
      </c>
      <c r="D72" s="1">
        <v>46204</v>
      </c>
      <c r="E72">
        <v>1552.75</v>
      </c>
      <c r="F72" s="1">
        <v>46234</v>
      </c>
      <c r="G72" t="s">
        <v>49</v>
      </c>
      <c r="H72" t="s">
        <v>17</v>
      </c>
      <c r="I72">
        <v>0</v>
      </c>
      <c r="J72">
        <v>1552.75</v>
      </c>
      <c r="K72" t="s">
        <v>27</v>
      </c>
      <c r="L72">
        <v>46</v>
      </c>
      <c r="M72" t="s">
        <v>51</v>
      </c>
      <c r="N72" t="str">
        <f>_xlfn.XLOOKUP(C72,agencies!A:A,agencies!B:B)</f>
        <v>Northgate Underwriters</v>
      </c>
    </row>
    <row r="73" spans="1:14" x14ac:dyDescent="0.25">
      <c r="A73" t="s">
        <v>129</v>
      </c>
      <c r="B73" t="s">
        <v>127</v>
      </c>
      <c r="C73" t="s">
        <v>77</v>
      </c>
      <c r="D73" s="1">
        <v>46235</v>
      </c>
      <c r="E73">
        <v>1552.75</v>
      </c>
      <c r="F73" s="1">
        <v>46265</v>
      </c>
      <c r="G73" t="s">
        <v>49</v>
      </c>
      <c r="H73" t="s">
        <v>17</v>
      </c>
      <c r="I73">
        <v>0</v>
      </c>
      <c r="J73">
        <v>1552.75</v>
      </c>
      <c r="K73" t="s">
        <v>27</v>
      </c>
      <c r="L73">
        <v>15</v>
      </c>
      <c r="M73" t="s">
        <v>31</v>
      </c>
      <c r="N73" t="str">
        <f>_xlfn.XLOOKUP(C73,agencies!A:A,agencies!B:B)</f>
        <v>Northgate Underwriters</v>
      </c>
    </row>
    <row r="74" spans="1:14" x14ac:dyDescent="0.25">
      <c r="A74" t="s">
        <v>130</v>
      </c>
      <c r="B74" t="s">
        <v>131</v>
      </c>
      <c r="C74" t="s">
        <v>24</v>
      </c>
      <c r="D74" s="1">
        <v>46174</v>
      </c>
      <c r="E74">
        <v>762.33</v>
      </c>
      <c r="F74" s="1">
        <v>46204</v>
      </c>
      <c r="G74" t="s">
        <v>25</v>
      </c>
      <c r="H74" t="s">
        <v>20</v>
      </c>
      <c r="I74">
        <v>762.33</v>
      </c>
      <c r="J74">
        <v>0</v>
      </c>
      <c r="K74" t="s">
        <v>18</v>
      </c>
      <c r="L74">
        <v>76</v>
      </c>
      <c r="M74" t="s">
        <v>18</v>
      </c>
      <c r="N74" t="str">
        <f>_xlfn.XLOOKUP(C74,agencies!A:A,agencies!B:B)</f>
        <v>Ironwood Insurance Agency</v>
      </c>
    </row>
    <row r="75" spans="1:14" x14ac:dyDescent="0.25">
      <c r="A75" t="s">
        <v>132</v>
      </c>
      <c r="B75" t="s">
        <v>131</v>
      </c>
      <c r="C75" t="s">
        <v>24</v>
      </c>
      <c r="D75" s="1">
        <v>46204</v>
      </c>
      <c r="E75">
        <v>762.33</v>
      </c>
      <c r="F75" s="1">
        <v>46234</v>
      </c>
      <c r="G75" t="s">
        <v>25</v>
      </c>
      <c r="H75" t="s">
        <v>26</v>
      </c>
      <c r="I75">
        <v>640.82000000000005</v>
      </c>
      <c r="J75">
        <v>121.51</v>
      </c>
      <c r="K75" t="s">
        <v>27</v>
      </c>
      <c r="L75">
        <v>46</v>
      </c>
      <c r="M75" t="s">
        <v>51</v>
      </c>
      <c r="N75" t="str">
        <f>_xlfn.XLOOKUP(C75,agencies!A:A,agencies!B:B)</f>
        <v>Ironwood Insurance Agency</v>
      </c>
    </row>
    <row r="76" spans="1:14" x14ac:dyDescent="0.25">
      <c r="A76" t="s">
        <v>133</v>
      </c>
      <c r="B76" t="s">
        <v>131</v>
      </c>
      <c r="C76" t="s">
        <v>24</v>
      </c>
      <c r="D76" s="1">
        <v>46235</v>
      </c>
      <c r="E76">
        <v>762.33</v>
      </c>
      <c r="F76" s="1">
        <v>46265</v>
      </c>
      <c r="G76" t="s">
        <v>25</v>
      </c>
      <c r="H76" t="s">
        <v>20</v>
      </c>
      <c r="I76">
        <v>762.33</v>
      </c>
      <c r="J76">
        <v>0</v>
      </c>
      <c r="K76" t="s">
        <v>18</v>
      </c>
      <c r="L76">
        <v>15</v>
      </c>
      <c r="M76" t="s">
        <v>18</v>
      </c>
      <c r="N76" t="str">
        <f>_xlfn.XLOOKUP(C76,agencies!A:A,agencies!B:B)</f>
        <v>Ironwood Insurance Agency</v>
      </c>
    </row>
    <row r="77" spans="1:14" x14ac:dyDescent="0.25">
      <c r="A77" t="s">
        <v>134</v>
      </c>
      <c r="B77" t="s">
        <v>135</v>
      </c>
      <c r="C77" t="s">
        <v>34</v>
      </c>
      <c r="D77" s="1">
        <v>46174</v>
      </c>
      <c r="E77">
        <v>1766.25</v>
      </c>
      <c r="F77" s="1">
        <v>46204</v>
      </c>
      <c r="G77" t="s">
        <v>25</v>
      </c>
      <c r="H77" t="s">
        <v>20</v>
      </c>
      <c r="I77">
        <v>1766.25</v>
      </c>
      <c r="J77">
        <v>0</v>
      </c>
      <c r="K77" t="s">
        <v>18</v>
      </c>
      <c r="L77">
        <v>76</v>
      </c>
      <c r="M77" t="s">
        <v>18</v>
      </c>
      <c r="N77" t="str">
        <f>_xlfn.XLOOKUP(C77,agencies!A:A,agencies!B:B)</f>
        <v>Bayview Risk Advisors</v>
      </c>
    </row>
    <row r="78" spans="1:14" x14ac:dyDescent="0.25">
      <c r="A78" t="s">
        <v>136</v>
      </c>
      <c r="B78" t="s">
        <v>135</v>
      </c>
      <c r="C78" t="s">
        <v>34</v>
      </c>
      <c r="D78" s="1">
        <v>46204</v>
      </c>
      <c r="E78">
        <v>1766.25</v>
      </c>
      <c r="F78" s="1">
        <v>46234</v>
      </c>
      <c r="G78" t="s">
        <v>25</v>
      </c>
      <c r="H78" t="s">
        <v>17</v>
      </c>
      <c r="I78">
        <v>1766.25</v>
      </c>
      <c r="J78">
        <v>0</v>
      </c>
      <c r="K78" t="s">
        <v>18</v>
      </c>
      <c r="L78">
        <v>46</v>
      </c>
      <c r="M78" t="s">
        <v>18</v>
      </c>
      <c r="N78" t="str">
        <f>_xlfn.XLOOKUP(C78,agencies!A:A,agencies!B:B)</f>
        <v>Bayview Risk Advisors</v>
      </c>
    </row>
    <row r="79" spans="1:14" x14ac:dyDescent="0.25">
      <c r="A79" t="s">
        <v>137</v>
      </c>
      <c r="B79" t="s">
        <v>135</v>
      </c>
      <c r="C79" t="s">
        <v>34</v>
      </c>
      <c r="D79" s="1">
        <v>46235</v>
      </c>
      <c r="E79">
        <v>1766.25</v>
      </c>
      <c r="F79" s="1">
        <v>46265</v>
      </c>
      <c r="G79" t="s">
        <v>25</v>
      </c>
      <c r="H79" t="s">
        <v>26</v>
      </c>
      <c r="I79">
        <v>1472.52</v>
      </c>
      <c r="J79">
        <v>293.73</v>
      </c>
      <c r="K79" t="s">
        <v>27</v>
      </c>
      <c r="L79">
        <v>15</v>
      </c>
      <c r="M79" t="s">
        <v>31</v>
      </c>
      <c r="N79" t="str">
        <f>_xlfn.XLOOKUP(C79,agencies!A:A,agencies!B:B)</f>
        <v>Bayview Risk Advisors</v>
      </c>
    </row>
    <row r="80" spans="1:14" x14ac:dyDescent="0.25">
      <c r="A80" t="s">
        <v>138</v>
      </c>
      <c r="B80" t="s">
        <v>139</v>
      </c>
      <c r="C80" t="s">
        <v>39</v>
      </c>
      <c r="D80" s="1">
        <v>46174</v>
      </c>
      <c r="E80">
        <v>1821.17</v>
      </c>
      <c r="F80" s="1">
        <v>46204</v>
      </c>
      <c r="G80" t="s">
        <v>16</v>
      </c>
      <c r="H80" t="s">
        <v>17</v>
      </c>
      <c r="I80">
        <v>1821.17</v>
      </c>
      <c r="J80">
        <v>0</v>
      </c>
      <c r="K80" t="s">
        <v>18</v>
      </c>
      <c r="L80">
        <v>76</v>
      </c>
      <c r="M80" t="s">
        <v>18</v>
      </c>
      <c r="N80" t="str">
        <f>_xlfn.XLOOKUP(C80,agencies!A:A,agencies!B:B)</f>
        <v>Pioneer Underwriters</v>
      </c>
    </row>
    <row r="81" spans="1:14" x14ac:dyDescent="0.25">
      <c r="A81" t="s">
        <v>140</v>
      </c>
      <c r="B81" t="s">
        <v>139</v>
      </c>
      <c r="C81" t="s">
        <v>39</v>
      </c>
      <c r="D81" s="1">
        <v>46204</v>
      </c>
      <c r="E81">
        <v>1821.17</v>
      </c>
      <c r="F81" s="1">
        <v>46234</v>
      </c>
      <c r="G81" t="s">
        <v>16</v>
      </c>
      <c r="H81" t="s">
        <v>20</v>
      </c>
      <c r="I81">
        <v>1821.17</v>
      </c>
      <c r="J81">
        <v>0</v>
      </c>
      <c r="K81" t="s">
        <v>18</v>
      </c>
      <c r="L81">
        <v>46</v>
      </c>
      <c r="M81" t="s">
        <v>18</v>
      </c>
      <c r="N81" t="str">
        <f>_xlfn.XLOOKUP(C81,agencies!A:A,agencies!B:B)</f>
        <v>Pioneer Underwriters</v>
      </c>
    </row>
    <row r="82" spans="1:14" x14ac:dyDescent="0.25">
      <c r="A82" t="s">
        <v>141</v>
      </c>
      <c r="B82" t="s">
        <v>139</v>
      </c>
      <c r="C82" t="s">
        <v>39</v>
      </c>
      <c r="D82" s="1">
        <v>46235</v>
      </c>
      <c r="E82">
        <v>1821.17</v>
      </c>
      <c r="F82" s="1">
        <v>46265</v>
      </c>
      <c r="G82" t="s">
        <v>16</v>
      </c>
      <c r="H82" t="s">
        <v>17</v>
      </c>
      <c r="I82">
        <v>0</v>
      </c>
      <c r="J82">
        <v>1821.17</v>
      </c>
      <c r="K82" t="s">
        <v>27</v>
      </c>
      <c r="L82">
        <v>15</v>
      </c>
      <c r="M82" t="s">
        <v>31</v>
      </c>
      <c r="N82" t="str">
        <f>_xlfn.XLOOKUP(C82,agencies!A:A,agencies!B:B)</f>
        <v>Pioneer Underwriters</v>
      </c>
    </row>
    <row r="83" spans="1:14" x14ac:dyDescent="0.25">
      <c r="A83" t="s">
        <v>142</v>
      </c>
      <c r="B83" t="s">
        <v>143</v>
      </c>
      <c r="C83" t="s">
        <v>48</v>
      </c>
      <c r="D83" s="1">
        <v>46174</v>
      </c>
      <c r="E83">
        <v>3478.58</v>
      </c>
      <c r="F83" s="1">
        <v>46204</v>
      </c>
      <c r="G83" t="s">
        <v>49</v>
      </c>
      <c r="H83" t="s">
        <v>26</v>
      </c>
      <c r="I83">
        <v>2623.78</v>
      </c>
      <c r="J83">
        <v>854.8</v>
      </c>
      <c r="K83" t="s">
        <v>27</v>
      </c>
      <c r="L83">
        <v>76</v>
      </c>
      <c r="M83" t="s">
        <v>28</v>
      </c>
      <c r="N83" t="str">
        <f>_xlfn.XLOOKUP(C83,agencies!A:A,agencies!B:B)</f>
        <v>Sterling Benefits &amp; Risk</v>
      </c>
    </row>
    <row r="84" spans="1:14" x14ac:dyDescent="0.25">
      <c r="A84" t="s">
        <v>144</v>
      </c>
      <c r="B84" t="s">
        <v>143</v>
      </c>
      <c r="C84" t="s">
        <v>48</v>
      </c>
      <c r="D84" s="1">
        <v>46204</v>
      </c>
      <c r="E84">
        <v>3478.58</v>
      </c>
      <c r="F84" s="1">
        <v>46234</v>
      </c>
      <c r="G84" t="s">
        <v>49</v>
      </c>
      <c r="H84" t="s">
        <v>17</v>
      </c>
      <c r="I84">
        <v>0</v>
      </c>
      <c r="J84">
        <v>3478.58</v>
      </c>
      <c r="K84" t="s">
        <v>27</v>
      </c>
      <c r="L84">
        <v>46</v>
      </c>
      <c r="M84" t="s">
        <v>51</v>
      </c>
      <c r="N84" t="str">
        <f>_xlfn.XLOOKUP(C84,agencies!A:A,agencies!B:B)</f>
        <v>Sterling Benefits &amp; Risk</v>
      </c>
    </row>
    <row r="85" spans="1:14" x14ac:dyDescent="0.25">
      <c r="A85" t="s">
        <v>145</v>
      </c>
      <c r="B85" t="s">
        <v>143</v>
      </c>
      <c r="C85" t="s">
        <v>48</v>
      </c>
      <c r="D85" s="1">
        <v>46235</v>
      </c>
      <c r="E85">
        <v>3478.58</v>
      </c>
      <c r="F85" s="1">
        <v>46265</v>
      </c>
      <c r="G85" t="s">
        <v>49</v>
      </c>
      <c r="H85" t="s">
        <v>17</v>
      </c>
      <c r="I85">
        <v>0</v>
      </c>
      <c r="J85">
        <v>3478.58</v>
      </c>
      <c r="K85" t="s">
        <v>27</v>
      </c>
      <c r="L85">
        <v>15</v>
      </c>
      <c r="M85" t="s">
        <v>31</v>
      </c>
      <c r="N85" t="str">
        <f>_xlfn.XLOOKUP(C85,agencies!A:A,agencies!B:B)</f>
        <v>Sterling Benefits &amp; Risk</v>
      </c>
    </row>
    <row r="86" spans="1:14" x14ac:dyDescent="0.25">
      <c r="A86" t="s">
        <v>146</v>
      </c>
      <c r="B86" t="s">
        <v>147</v>
      </c>
      <c r="C86" t="s">
        <v>72</v>
      </c>
      <c r="D86" s="1">
        <v>46174</v>
      </c>
      <c r="E86">
        <v>3006.67</v>
      </c>
      <c r="F86" s="1">
        <v>46204</v>
      </c>
      <c r="G86" t="s">
        <v>25</v>
      </c>
      <c r="H86" t="s">
        <v>17</v>
      </c>
      <c r="I86">
        <v>3006.67</v>
      </c>
      <c r="J86">
        <v>0</v>
      </c>
      <c r="K86" t="s">
        <v>18</v>
      </c>
      <c r="L86">
        <v>76</v>
      </c>
      <c r="M86" t="s">
        <v>18</v>
      </c>
      <c r="N86" t="str">
        <f>_xlfn.XLOOKUP(C86,agencies!A:A,agencies!B:B)</f>
        <v>Cardinal Insurance Group</v>
      </c>
    </row>
    <row r="87" spans="1:14" x14ac:dyDescent="0.25">
      <c r="A87" t="s">
        <v>148</v>
      </c>
      <c r="B87" t="s">
        <v>147</v>
      </c>
      <c r="C87" t="s">
        <v>72</v>
      </c>
      <c r="D87" s="1">
        <v>46204</v>
      </c>
      <c r="E87">
        <v>3006.67</v>
      </c>
      <c r="F87" s="1">
        <v>46234</v>
      </c>
      <c r="G87" t="s">
        <v>25</v>
      </c>
      <c r="H87" t="s">
        <v>17</v>
      </c>
      <c r="I87">
        <v>3006.67</v>
      </c>
      <c r="J87">
        <v>0</v>
      </c>
      <c r="K87" t="s">
        <v>18</v>
      </c>
      <c r="L87">
        <v>46</v>
      </c>
      <c r="M87" t="s">
        <v>18</v>
      </c>
      <c r="N87" t="str">
        <f>_xlfn.XLOOKUP(C87,agencies!A:A,agencies!B:B)</f>
        <v>Cardinal Insurance Group</v>
      </c>
    </row>
    <row r="88" spans="1:14" x14ac:dyDescent="0.25">
      <c r="A88" t="s">
        <v>149</v>
      </c>
      <c r="B88" t="s">
        <v>147</v>
      </c>
      <c r="C88" t="s">
        <v>72</v>
      </c>
      <c r="D88" s="1">
        <v>46235</v>
      </c>
      <c r="E88">
        <v>3006.67</v>
      </c>
      <c r="F88" s="1">
        <v>46265</v>
      </c>
      <c r="G88" t="s">
        <v>25</v>
      </c>
      <c r="H88" t="s">
        <v>20</v>
      </c>
      <c r="I88">
        <v>3006.67</v>
      </c>
      <c r="J88">
        <v>0</v>
      </c>
      <c r="K88" t="s">
        <v>18</v>
      </c>
      <c r="L88">
        <v>15</v>
      </c>
      <c r="M88" t="s">
        <v>18</v>
      </c>
      <c r="N88" t="str">
        <f>_xlfn.XLOOKUP(C88,agencies!A:A,agencies!B:B)</f>
        <v>Cardinal Insurance Group</v>
      </c>
    </row>
    <row r="89" spans="1:14" x14ac:dyDescent="0.25">
      <c r="A89" t="s">
        <v>150</v>
      </c>
      <c r="B89" t="s">
        <v>151</v>
      </c>
      <c r="C89" t="s">
        <v>39</v>
      </c>
      <c r="D89" s="1">
        <v>46174</v>
      </c>
      <c r="E89">
        <v>4027.58</v>
      </c>
      <c r="F89" s="1">
        <v>46204</v>
      </c>
      <c r="G89" t="s">
        <v>16</v>
      </c>
      <c r="H89" t="s">
        <v>20</v>
      </c>
      <c r="I89">
        <v>4027.58</v>
      </c>
      <c r="J89">
        <v>0</v>
      </c>
      <c r="K89" t="s">
        <v>18</v>
      </c>
      <c r="L89">
        <v>76</v>
      </c>
      <c r="M89" t="s">
        <v>18</v>
      </c>
      <c r="N89" t="str">
        <f>_xlfn.XLOOKUP(C89,agencies!A:A,agencies!B:B)</f>
        <v>Pioneer Underwriters</v>
      </c>
    </row>
    <row r="90" spans="1:14" x14ac:dyDescent="0.25">
      <c r="A90" t="s">
        <v>152</v>
      </c>
      <c r="B90" t="s">
        <v>151</v>
      </c>
      <c r="C90" t="s">
        <v>39</v>
      </c>
      <c r="D90" s="1">
        <v>46204</v>
      </c>
      <c r="E90">
        <v>4027.58</v>
      </c>
      <c r="F90" s="1">
        <v>46234</v>
      </c>
      <c r="G90" t="s">
        <v>16</v>
      </c>
      <c r="H90" t="s">
        <v>20</v>
      </c>
      <c r="I90">
        <v>4027.58</v>
      </c>
      <c r="J90">
        <v>0</v>
      </c>
      <c r="K90" t="s">
        <v>18</v>
      </c>
      <c r="L90">
        <v>46</v>
      </c>
      <c r="M90" t="s">
        <v>18</v>
      </c>
      <c r="N90" t="str">
        <f>_xlfn.XLOOKUP(C90,agencies!A:A,agencies!B:B)</f>
        <v>Pioneer Underwriters</v>
      </c>
    </row>
    <row r="91" spans="1:14" x14ac:dyDescent="0.25">
      <c r="A91" t="s">
        <v>153</v>
      </c>
      <c r="B91" t="s">
        <v>151</v>
      </c>
      <c r="C91" t="s">
        <v>39</v>
      </c>
      <c r="D91" s="1">
        <v>46235</v>
      </c>
      <c r="E91">
        <v>4027.58</v>
      </c>
      <c r="F91" s="1">
        <v>46265</v>
      </c>
      <c r="G91" t="s">
        <v>16</v>
      </c>
      <c r="H91" t="s">
        <v>20</v>
      </c>
      <c r="I91">
        <v>4027.58</v>
      </c>
      <c r="J91">
        <v>0</v>
      </c>
      <c r="K91" t="s">
        <v>18</v>
      </c>
      <c r="L91">
        <v>15</v>
      </c>
      <c r="M91" t="s">
        <v>18</v>
      </c>
      <c r="N91" t="str">
        <f>_xlfn.XLOOKUP(C91,agencies!A:A,agencies!B:B)</f>
        <v>Pioneer Underwriters</v>
      </c>
    </row>
    <row r="92" spans="1:14" x14ac:dyDescent="0.25">
      <c r="A92" t="s">
        <v>154</v>
      </c>
      <c r="B92" t="s">
        <v>155</v>
      </c>
      <c r="C92" t="s">
        <v>39</v>
      </c>
      <c r="D92" s="1">
        <v>46174</v>
      </c>
      <c r="E92">
        <v>3489.42</v>
      </c>
      <c r="F92" s="1">
        <v>46204</v>
      </c>
      <c r="G92" t="s">
        <v>16</v>
      </c>
      <c r="H92" t="s">
        <v>17</v>
      </c>
      <c r="I92">
        <v>3489.42</v>
      </c>
      <c r="J92">
        <v>0</v>
      </c>
      <c r="K92" t="s">
        <v>18</v>
      </c>
      <c r="L92">
        <v>76</v>
      </c>
      <c r="M92" t="s">
        <v>18</v>
      </c>
      <c r="N92" t="str">
        <f>_xlfn.XLOOKUP(C92,agencies!A:A,agencies!B:B)</f>
        <v>Pioneer Underwriters</v>
      </c>
    </row>
    <row r="93" spans="1:14" x14ac:dyDescent="0.25">
      <c r="A93" t="s">
        <v>156</v>
      </c>
      <c r="B93" t="s">
        <v>155</v>
      </c>
      <c r="C93" t="s">
        <v>39</v>
      </c>
      <c r="D93" s="1">
        <v>46204</v>
      </c>
      <c r="E93">
        <v>3489.42</v>
      </c>
      <c r="F93" s="1">
        <v>46234</v>
      </c>
      <c r="G93" t="s">
        <v>16</v>
      </c>
      <c r="H93" t="s">
        <v>20</v>
      </c>
      <c r="I93">
        <v>3489.42</v>
      </c>
      <c r="J93">
        <v>0</v>
      </c>
      <c r="K93" t="s">
        <v>18</v>
      </c>
      <c r="L93">
        <v>46</v>
      </c>
      <c r="M93" t="s">
        <v>18</v>
      </c>
      <c r="N93" t="str">
        <f>_xlfn.XLOOKUP(C93,agencies!A:A,agencies!B:B)</f>
        <v>Pioneer Underwriters</v>
      </c>
    </row>
    <row r="94" spans="1:14" x14ac:dyDescent="0.25">
      <c r="A94" t="s">
        <v>157</v>
      </c>
      <c r="B94" t="s">
        <v>155</v>
      </c>
      <c r="C94" t="s">
        <v>39</v>
      </c>
      <c r="D94" s="1">
        <v>46235</v>
      </c>
      <c r="E94">
        <v>3489.42</v>
      </c>
      <c r="F94" s="1">
        <v>46265</v>
      </c>
      <c r="G94" t="s">
        <v>16</v>
      </c>
      <c r="H94" t="s">
        <v>20</v>
      </c>
      <c r="I94">
        <v>3489.42</v>
      </c>
      <c r="J94">
        <v>0</v>
      </c>
      <c r="K94" t="s">
        <v>18</v>
      </c>
      <c r="L94">
        <v>15</v>
      </c>
      <c r="M94" t="s">
        <v>18</v>
      </c>
      <c r="N94" t="str">
        <f>_xlfn.XLOOKUP(C94,agencies!A:A,agencies!B:B)</f>
        <v>Pioneer Underwriters</v>
      </c>
    </row>
    <row r="95" spans="1:14" x14ac:dyDescent="0.25">
      <c r="A95" t="s">
        <v>158</v>
      </c>
      <c r="B95" t="s">
        <v>159</v>
      </c>
      <c r="C95" t="s">
        <v>63</v>
      </c>
      <c r="D95" s="1">
        <v>46174</v>
      </c>
      <c r="E95">
        <v>2328.75</v>
      </c>
      <c r="F95" s="1">
        <v>46204</v>
      </c>
      <c r="G95" t="s">
        <v>16</v>
      </c>
      <c r="H95" t="s">
        <v>20</v>
      </c>
      <c r="I95">
        <v>2328.75</v>
      </c>
      <c r="J95">
        <v>0</v>
      </c>
      <c r="K95" t="s">
        <v>18</v>
      </c>
      <c r="L95">
        <v>76</v>
      </c>
      <c r="M95" t="s">
        <v>18</v>
      </c>
      <c r="N95" t="str">
        <f>_xlfn.XLOOKUP(C95,agencies!A:A,agencies!B:B)</f>
        <v>Liberty Insurance Agency</v>
      </c>
    </row>
    <row r="96" spans="1:14" x14ac:dyDescent="0.25">
      <c r="A96" t="s">
        <v>160</v>
      </c>
      <c r="B96" t="s">
        <v>159</v>
      </c>
      <c r="C96" t="s">
        <v>63</v>
      </c>
      <c r="D96" s="1">
        <v>46204</v>
      </c>
      <c r="E96">
        <v>2328.75</v>
      </c>
      <c r="F96" s="1">
        <v>46234</v>
      </c>
      <c r="G96" t="s">
        <v>16</v>
      </c>
      <c r="H96" t="s">
        <v>20</v>
      </c>
      <c r="I96">
        <v>2328.75</v>
      </c>
      <c r="J96">
        <v>0</v>
      </c>
      <c r="K96" t="s">
        <v>18</v>
      </c>
      <c r="L96">
        <v>46</v>
      </c>
      <c r="M96" t="s">
        <v>18</v>
      </c>
      <c r="N96" t="str">
        <f>_xlfn.XLOOKUP(C96,agencies!A:A,agencies!B:B)</f>
        <v>Liberty Insurance Agency</v>
      </c>
    </row>
    <row r="97" spans="1:14" x14ac:dyDescent="0.25">
      <c r="A97" t="s">
        <v>161</v>
      </c>
      <c r="B97" t="s">
        <v>159</v>
      </c>
      <c r="C97" t="s">
        <v>63</v>
      </c>
      <c r="D97" s="1">
        <v>46235</v>
      </c>
      <c r="E97">
        <v>2328.75</v>
      </c>
      <c r="F97" s="1">
        <v>46265</v>
      </c>
      <c r="G97" t="s">
        <v>16</v>
      </c>
      <c r="H97" t="s">
        <v>20</v>
      </c>
      <c r="I97">
        <v>2328.75</v>
      </c>
      <c r="J97">
        <v>0</v>
      </c>
      <c r="K97" t="s">
        <v>18</v>
      </c>
      <c r="L97">
        <v>15</v>
      </c>
      <c r="M97" t="s">
        <v>18</v>
      </c>
      <c r="N97" t="str">
        <f>_xlfn.XLOOKUP(C97,agencies!A:A,agencies!B:B)</f>
        <v>Liberty Insurance Agency</v>
      </c>
    </row>
    <row r="98" spans="1:14" x14ac:dyDescent="0.25">
      <c r="A98" t="s">
        <v>162</v>
      </c>
      <c r="B98" t="s">
        <v>163</v>
      </c>
      <c r="C98" t="s">
        <v>15</v>
      </c>
      <c r="D98" s="1">
        <v>46174</v>
      </c>
      <c r="E98">
        <v>4163.08</v>
      </c>
      <c r="F98" s="1">
        <v>46204</v>
      </c>
      <c r="G98" t="s">
        <v>16</v>
      </c>
      <c r="H98" t="s">
        <v>20</v>
      </c>
      <c r="I98">
        <v>4163.08</v>
      </c>
      <c r="J98">
        <v>0</v>
      </c>
      <c r="K98" t="s">
        <v>18</v>
      </c>
      <c r="L98">
        <v>76</v>
      </c>
      <c r="M98" t="s">
        <v>18</v>
      </c>
      <c r="N98" t="str">
        <f>_xlfn.XLOOKUP(C98,agencies!A:A,agencies!B:B)</f>
        <v>Summit Insurance Group</v>
      </c>
    </row>
    <row r="99" spans="1:14" x14ac:dyDescent="0.25">
      <c r="A99" t="s">
        <v>164</v>
      </c>
      <c r="B99" t="s">
        <v>163</v>
      </c>
      <c r="C99" t="s">
        <v>15</v>
      </c>
      <c r="D99" s="1">
        <v>46204</v>
      </c>
      <c r="E99">
        <v>4163.08</v>
      </c>
      <c r="F99" s="1">
        <v>46234</v>
      </c>
      <c r="G99" t="s">
        <v>16</v>
      </c>
      <c r="H99" t="s">
        <v>17</v>
      </c>
      <c r="I99">
        <v>4163.08</v>
      </c>
      <c r="J99">
        <v>0</v>
      </c>
      <c r="K99" t="s">
        <v>18</v>
      </c>
      <c r="L99">
        <v>46</v>
      </c>
      <c r="M99" t="s">
        <v>18</v>
      </c>
      <c r="N99" t="str">
        <f>_xlfn.XLOOKUP(C99,agencies!A:A,agencies!B:B)</f>
        <v>Summit Insurance Group</v>
      </c>
    </row>
    <row r="100" spans="1:14" x14ac:dyDescent="0.25">
      <c r="A100" t="s">
        <v>165</v>
      </c>
      <c r="B100" t="s">
        <v>163</v>
      </c>
      <c r="C100" t="s">
        <v>15</v>
      </c>
      <c r="D100" s="1">
        <v>46235</v>
      </c>
      <c r="E100">
        <v>4163.08</v>
      </c>
      <c r="F100" s="1">
        <v>46265</v>
      </c>
      <c r="G100" t="s">
        <v>16</v>
      </c>
      <c r="H100" t="s">
        <v>20</v>
      </c>
      <c r="I100">
        <v>4163.08</v>
      </c>
      <c r="J100">
        <v>0</v>
      </c>
      <c r="K100" t="s">
        <v>18</v>
      </c>
      <c r="L100">
        <v>15</v>
      </c>
      <c r="M100" t="s">
        <v>18</v>
      </c>
      <c r="N100" t="str">
        <f>_xlfn.XLOOKUP(C100,agencies!A:A,agencies!B:B)</f>
        <v>Summit Insurance Group</v>
      </c>
    </row>
    <row r="101" spans="1:14" x14ac:dyDescent="0.25">
      <c r="A101" t="s">
        <v>166</v>
      </c>
      <c r="B101" t="s">
        <v>167</v>
      </c>
      <c r="C101" t="s">
        <v>72</v>
      </c>
      <c r="D101" s="1">
        <v>46174</v>
      </c>
      <c r="E101">
        <v>1251.42</v>
      </c>
      <c r="F101" s="1">
        <v>46204</v>
      </c>
      <c r="G101" t="s">
        <v>25</v>
      </c>
      <c r="H101" t="s">
        <v>20</v>
      </c>
      <c r="I101">
        <v>1251.42</v>
      </c>
      <c r="J101">
        <v>0</v>
      </c>
      <c r="K101" t="s">
        <v>18</v>
      </c>
      <c r="L101">
        <v>76</v>
      </c>
      <c r="M101" t="s">
        <v>18</v>
      </c>
      <c r="N101" t="str">
        <f>_xlfn.XLOOKUP(C101,agencies!A:A,agencies!B:B)</f>
        <v>Cardinal Insurance Group</v>
      </c>
    </row>
    <row r="102" spans="1:14" x14ac:dyDescent="0.25">
      <c r="A102" t="s">
        <v>168</v>
      </c>
      <c r="B102" t="s">
        <v>167</v>
      </c>
      <c r="C102" t="s">
        <v>72</v>
      </c>
      <c r="D102" s="1">
        <v>46204</v>
      </c>
      <c r="E102">
        <v>1251.42</v>
      </c>
      <c r="F102" s="1">
        <v>46234</v>
      </c>
      <c r="G102" t="s">
        <v>25</v>
      </c>
      <c r="H102" t="s">
        <v>17</v>
      </c>
      <c r="I102">
        <v>1251.42</v>
      </c>
      <c r="J102">
        <v>0</v>
      </c>
      <c r="K102" t="s">
        <v>18</v>
      </c>
      <c r="L102">
        <v>46</v>
      </c>
      <c r="M102" t="s">
        <v>18</v>
      </c>
      <c r="N102" t="str">
        <f>_xlfn.XLOOKUP(C102,agencies!A:A,agencies!B:B)</f>
        <v>Cardinal Insurance Group</v>
      </c>
    </row>
    <row r="103" spans="1:14" x14ac:dyDescent="0.25">
      <c r="A103" t="s">
        <v>169</v>
      </c>
      <c r="B103" t="s">
        <v>167</v>
      </c>
      <c r="C103" t="s">
        <v>72</v>
      </c>
      <c r="D103" s="1">
        <v>46235</v>
      </c>
      <c r="E103">
        <v>1251.42</v>
      </c>
      <c r="F103" s="1">
        <v>46265</v>
      </c>
      <c r="G103" t="s">
        <v>25</v>
      </c>
      <c r="H103" t="s">
        <v>26</v>
      </c>
      <c r="I103">
        <v>888.41</v>
      </c>
      <c r="J103">
        <v>363.01</v>
      </c>
      <c r="K103" t="s">
        <v>27</v>
      </c>
      <c r="L103">
        <v>15</v>
      </c>
      <c r="M103" t="s">
        <v>31</v>
      </c>
      <c r="N103" t="str">
        <f>_xlfn.XLOOKUP(C103,agencies!A:A,agencies!B:B)</f>
        <v>Cardinal Insurance Group</v>
      </c>
    </row>
    <row r="104" spans="1:14" x14ac:dyDescent="0.25">
      <c r="A104" t="s">
        <v>170</v>
      </c>
      <c r="B104" t="s">
        <v>171</v>
      </c>
      <c r="C104" t="s">
        <v>48</v>
      </c>
      <c r="D104" s="1">
        <v>46174</v>
      </c>
      <c r="E104">
        <v>602.16999999999996</v>
      </c>
      <c r="F104" s="1">
        <v>46204</v>
      </c>
      <c r="G104" t="s">
        <v>49</v>
      </c>
      <c r="H104" t="s">
        <v>17</v>
      </c>
      <c r="I104">
        <v>602.16999999999996</v>
      </c>
      <c r="J104">
        <v>0</v>
      </c>
      <c r="K104" t="s">
        <v>18</v>
      </c>
      <c r="L104">
        <v>76</v>
      </c>
      <c r="M104" t="s">
        <v>18</v>
      </c>
      <c r="N104" t="str">
        <f>_xlfn.XLOOKUP(C104,agencies!A:A,agencies!B:B)</f>
        <v>Sterling Benefits &amp; Risk</v>
      </c>
    </row>
    <row r="105" spans="1:14" x14ac:dyDescent="0.25">
      <c r="A105" t="s">
        <v>172</v>
      </c>
      <c r="B105" t="s">
        <v>171</v>
      </c>
      <c r="C105" t="s">
        <v>48</v>
      </c>
      <c r="D105" s="1">
        <v>46204</v>
      </c>
      <c r="E105">
        <v>602.16999999999996</v>
      </c>
      <c r="F105" s="1">
        <v>46234</v>
      </c>
      <c r="G105" t="s">
        <v>49</v>
      </c>
      <c r="H105" t="s">
        <v>20</v>
      </c>
      <c r="I105">
        <v>602.16999999999996</v>
      </c>
      <c r="J105">
        <v>0</v>
      </c>
      <c r="K105" t="s">
        <v>18</v>
      </c>
      <c r="L105">
        <v>46</v>
      </c>
      <c r="M105" t="s">
        <v>18</v>
      </c>
      <c r="N105" t="str">
        <f>_xlfn.XLOOKUP(C105,agencies!A:A,agencies!B:B)</f>
        <v>Sterling Benefits &amp; Risk</v>
      </c>
    </row>
    <row r="106" spans="1:14" x14ac:dyDescent="0.25">
      <c r="A106" t="s">
        <v>173</v>
      </c>
      <c r="B106" t="s">
        <v>171</v>
      </c>
      <c r="C106" t="s">
        <v>48</v>
      </c>
      <c r="D106" s="1">
        <v>46235</v>
      </c>
      <c r="E106">
        <v>602.16999999999996</v>
      </c>
      <c r="F106" s="1">
        <v>46265</v>
      </c>
      <c r="G106" t="s">
        <v>49</v>
      </c>
      <c r="H106" t="s">
        <v>20</v>
      </c>
      <c r="I106">
        <v>602.16999999999996</v>
      </c>
      <c r="J106">
        <v>0</v>
      </c>
      <c r="K106" t="s">
        <v>18</v>
      </c>
      <c r="L106">
        <v>15</v>
      </c>
      <c r="M106" t="s">
        <v>18</v>
      </c>
      <c r="N106" t="str">
        <f>_xlfn.XLOOKUP(C106,agencies!A:A,agencies!B:B)</f>
        <v>Sterling Benefits &amp; Risk</v>
      </c>
    </row>
    <row r="107" spans="1:14" x14ac:dyDescent="0.25">
      <c r="A107" t="s">
        <v>174</v>
      </c>
      <c r="B107" t="s">
        <v>175</v>
      </c>
      <c r="C107" t="s">
        <v>15</v>
      </c>
      <c r="D107" s="1">
        <v>46174</v>
      </c>
      <c r="E107">
        <v>905.25</v>
      </c>
      <c r="F107" s="1">
        <v>46204</v>
      </c>
      <c r="G107" t="s">
        <v>16</v>
      </c>
      <c r="H107" t="s">
        <v>20</v>
      </c>
      <c r="I107">
        <v>905.25</v>
      </c>
      <c r="J107">
        <v>0</v>
      </c>
      <c r="K107" t="s">
        <v>18</v>
      </c>
      <c r="L107">
        <v>76</v>
      </c>
      <c r="M107" t="s">
        <v>18</v>
      </c>
      <c r="N107" t="str">
        <f>_xlfn.XLOOKUP(C107,agencies!A:A,agencies!B:B)</f>
        <v>Summit Insurance Group</v>
      </c>
    </row>
    <row r="108" spans="1:14" x14ac:dyDescent="0.25">
      <c r="A108" t="s">
        <v>176</v>
      </c>
      <c r="B108" t="s">
        <v>175</v>
      </c>
      <c r="C108" t="s">
        <v>15</v>
      </c>
      <c r="D108" s="1">
        <v>46204</v>
      </c>
      <c r="E108">
        <v>905.25</v>
      </c>
      <c r="F108" s="1">
        <v>46234</v>
      </c>
      <c r="G108" t="s">
        <v>16</v>
      </c>
      <c r="H108" t="s">
        <v>20</v>
      </c>
      <c r="I108">
        <v>905.25</v>
      </c>
      <c r="J108">
        <v>0</v>
      </c>
      <c r="K108" t="s">
        <v>18</v>
      </c>
      <c r="L108">
        <v>46</v>
      </c>
      <c r="M108" t="s">
        <v>18</v>
      </c>
      <c r="N108" t="str">
        <f>_xlfn.XLOOKUP(C108,agencies!A:A,agencies!B:B)</f>
        <v>Summit Insurance Group</v>
      </c>
    </row>
    <row r="109" spans="1:14" x14ac:dyDescent="0.25">
      <c r="A109" t="s">
        <v>177</v>
      </c>
      <c r="B109" t="s">
        <v>175</v>
      </c>
      <c r="C109" t="s">
        <v>15</v>
      </c>
      <c r="D109" s="1">
        <v>46235</v>
      </c>
      <c r="E109">
        <v>905.25</v>
      </c>
      <c r="F109" s="1">
        <v>46265</v>
      </c>
      <c r="G109" t="s">
        <v>16</v>
      </c>
      <c r="H109" t="s">
        <v>20</v>
      </c>
      <c r="I109">
        <v>905.25</v>
      </c>
      <c r="J109">
        <v>0</v>
      </c>
      <c r="K109" t="s">
        <v>18</v>
      </c>
      <c r="L109">
        <v>15</v>
      </c>
      <c r="M109" t="s">
        <v>18</v>
      </c>
      <c r="N109" t="str">
        <f>_xlfn.XLOOKUP(C109,agencies!A:A,agencies!B:B)</f>
        <v>Summit Insurance Group</v>
      </c>
    </row>
    <row r="110" spans="1:14" x14ac:dyDescent="0.25">
      <c r="A110" t="s">
        <v>178</v>
      </c>
      <c r="B110" t="s">
        <v>179</v>
      </c>
      <c r="C110" t="s">
        <v>48</v>
      </c>
      <c r="D110" s="1">
        <v>46174</v>
      </c>
      <c r="E110">
        <v>3750.58</v>
      </c>
      <c r="F110" s="1">
        <v>46204</v>
      </c>
      <c r="G110" t="s">
        <v>49</v>
      </c>
      <c r="H110" t="s">
        <v>20</v>
      </c>
      <c r="I110">
        <v>3750.58</v>
      </c>
      <c r="J110">
        <v>0</v>
      </c>
      <c r="K110" t="s">
        <v>18</v>
      </c>
      <c r="L110">
        <v>76</v>
      </c>
      <c r="M110" t="s">
        <v>18</v>
      </c>
      <c r="N110" t="str">
        <f>_xlfn.XLOOKUP(C110,agencies!A:A,agencies!B:B)</f>
        <v>Sterling Benefits &amp; Risk</v>
      </c>
    </row>
    <row r="111" spans="1:14" x14ac:dyDescent="0.25">
      <c r="A111" t="s">
        <v>180</v>
      </c>
      <c r="B111" t="s">
        <v>179</v>
      </c>
      <c r="C111" t="s">
        <v>48</v>
      </c>
      <c r="D111" s="1">
        <v>46204</v>
      </c>
      <c r="E111">
        <v>3750.58</v>
      </c>
      <c r="F111" s="1">
        <v>46234</v>
      </c>
      <c r="G111" t="s">
        <v>49</v>
      </c>
      <c r="H111" t="s">
        <v>17</v>
      </c>
      <c r="I111">
        <v>3750.58</v>
      </c>
      <c r="J111">
        <v>0</v>
      </c>
      <c r="K111" t="s">
        <v>18</v>
      </c>
      <c r="L111">
        <v>46</v>
      </c>
      <c r="M111" t="s">
        <v>18</v>
      </c>
      <c r="N111" t="str">
        <f>_xlfn.XLOOKUP(C111,agencies!A:A,agencies!B:B)</f>
        <v>Sterling Benefits &amp; Risk</v>
      </c>
    </row>
    <row r="112" spans="1:14" x14ac:dyDescent="0.25">
      <c r="A112" t="s">
        <v>181</v>
      </c>
      <c r="B112" t="s">
        <v>179</v>
      </c>
      <c r="C112" t="s">
        <v>48</v>
      </c>
      <c r="D112" s="1">
        <v>46235</v>
      </c>
      <c r="E112">
        <v>3750.58</v>
      </c>
      <c r="F112" s="1">
        <v>46265</v>
      </c>
      <c r="G112" t="s">
        <v>49</v>
      </c>
      <c r="H112" t="s">
        <v>26</v>
      </c>
      <c r="I112">
        <v>3281.4</v>
      </c>
      <c r="J112">
        <v>469.18</v>
      </c>
      <c r="K112" t="s">
        <v>27</v>
      </c>
      <c r="L112">
        <v>15</v>
      </c>
      <c r="M112" t="s">
        <v>31</v>
      </c>
      <c r="N112" t="str">
        <f>_xlfn.XLOOKUP(C112,agencies!A:A,agencies!B:B)</f>
        <v>Sterling Benefits &amp; Risk</v>
      </c>
    </row>
    <row r="113" spans="1:14" x14ac:dyDescent="0.25">
      <c r="A113" t="s">
        <v>182</v>
      </c>
      <c r="B113" t="s">
        <v>183</v>
      </c>
      <c r="C113" t="s">
        <v>48</v>
      </c>
      <c r="D113" s="1">
        <v>46174</v>
      </c>
      <c r="E113">
        <v>2578.42</v>
      </c>
      <c r="F113" s="1">
        <v>46204</v>
      </c>
      <c r="G113" t="s">
        <v>49</v>
      </c>
      <c r="H113" t="s">
        <v>17</v>
      </c>
      <c r="I113">
        <v>2578.42</v>
      </c>
      <c r="J113">
        <v>0</v>
      </c>
      <c r="K113" t="s">
        <v>18</v>
      </c>
      <c r="L113">
        <v>76</v>
      </c>
      <c r="M113" t="s">
        <v>18</v>
      </c>
      <c r="N113" t="str">
        <f>_xlfn.XLOOKUP(C113,agencies!A:A,agencies!B:B)</f>
        <v>Sterling Benefits &amp; Risk</v>
      </c>
    </row>
    <row r="114" spans="1:14" x14ac:dyDescent="0.25">
      <c r="A114" t="s">
        <v>184</v>
      </c>
      <c r="B114" t="s">
        <v>183</v>
      </c>
      <c r="C114" t="s">
        <v>48</v>
      </c>
      <c r="D114" s="1">
        <v>46204</v>
      </c>
      <c r="E114">
        <v>2578.42</v>
      </c>
      <c r="F114" s="1">
        <v>46234</v>
      </c>
      <c r="G114" t="s">
        <v>49</v>
      </c>
      <c r="H114" t="s">
        <v>20</v>
      </c>
      <c r="I114">
        <v>2578.42</v>
      </c>
      <c r="J114">
        <v>0</v>
      </c>
      <c r="K114" t="s">
        <v>18</v>
      </c>
      <c r="L114">
        <v>46</v>
      </c>
      <c r="M114" t="s">
        <v>18</v>
      </c>
      <c r="N114" t="str">
        <f>_xlfn.XLOOKUP(C114,agencies!A:A,agencies!B:B)</f>
        <v>Sterling Benefits &amp; Risk</v>
      </c>
    </row>
    <row r="115" spans="1:14" x14ac:dyDescent="0.25">
      <c r="A115" t="s">
        <v>185</v>
      </c>
      <c r="B115" t="s">
        <v>183</v>
      </c>
      <c r="C115" t="s">
        <v>48</v>
      </c>
      <c r="D115" s="1">
        <v>46235</v>
      </c>
      <c r="E115">
        <v>2578.42</v>
      </c>
      <c r="F115" s="1">
        <v>46265</v>
      </c>
      <c r="G115" t="s">
        <v>49</v>
      </c>
      <c r="H115" t="s">
        <v>26</v>
      </c>
      <c r="I115">
        <v>1801.05</v>
      </c>
      <c r="J115">
        <v>777.37</v>
      </c>
      <c r="K115" t="s">
        <v>27</v>
      </c>
      <c r="L115">
        <v>15</v>
      </c>
      <c r="M115" t="s">
        <v>31</v>
      </c>
      <c r="N115" t="str">
        <f>_xlfn.XLOOKUP(C115,agencies!A:A,agencies!B:B)</f>
        <v>Sterling Benefits &amp; Risk</v>
      </c>
    </row>
    <row r="116" spans="1:14" x14ac:dyDescent="0.25">
      <c r="A116" t="s">
        <v>186</v>
      </c>
      <c r="B116" t="s">
        <v>187</v>
      </c>
      <c r="C116" t="s">
        <v>63</v>
      </c>
      <c r="D116" s="1">
        <v>46174</v>
      </c>
      <c r="E116">
        <v>1225.75</v>
      </c>
      <c r="F116" s="1">
        <v>46204</v>
      </c>
      <c r="G116" t="s">
        <v>16</v>
      </c>
      <c r="H116" t="s">
        <v>20</v>
      </c>
      <c r="I116">
        <v>1225.75</v>
      </c>
      <c r="J116">
        <v>0</v>
      </c>
      <c r="K116" t="s">
        <v>18</v>
      </c>
      <c r="L116">
        <v>76</v>
      </c>
      <c r="M116" t="s">
        <v>18</v>
      </c>
      <c r="N116" t="str">
        <f>_xlfn.XLOOKUP(C116,agencies!A:A,agencies!B:B)</f>
        <v>Liberty Insurance Agency</v>
      </c>
    </row>
    <row r="117" spans="1:14" x14ac:dyDescent="0.25">
      <c r="A117" t="s">
        <v>188</v>
      </c>
      <c r="B117" t="s">
        <v>187</v>
      </c>
      <c r="C117" t="s">
        <v>63</v>
      </c>
      <c r="D117" s="1">
        <v>46204</v>
      </c>
      <c r="E117">
        <v>1225.75</v>
      </c>
      <c r="F117" s="1">
        <v>46234</v>
      </c>
      <c r="G117" t="s">
        <v>16</v>
      </c>
      <c r="H117" t="s">
        <v>20</v>
      </c>
      <c r="I117">
        <v>1225.75</v>
      </c>
      <c r="J117">
        <v>0</v>
      </c>
      <c r="K117" t="s">
        <v>18</v>
      </c>
      <c r="L117">
        <v>46</v>
      </c>
      <c r="M117" t="s">
        <v>18</v>
      </c>
      <c r="N117" t="str">
        <f>_xlfn.XLOOKUP(C117,agencies!A:A,agencies!B:B)</f>
        <v>Liberty Insurance Agency</v>
      </c>
    </row>
    <row r="118" spans="1:14" x14ac:dyDescent="0.25">
      <c r="A118" t="s">
        <v>189</v>
      </c>
      <c r="B118" t="s">
        <v>187</v>
      </c>
      <c r="C118" t="s">
        <v>63</v>
      </c>
      <c r="D118" s="1">
        <v>46235</v>
      </c>
      <c r="E118">
        <v>1225.75</v>
      </c>
      <c r="F118" s="1">
        <v>46265</v>
      </c>
      <c r="G118" t="s">
        <v>16</v>
      </c>
      <c r="H118" t="s">
        <v>20</v>
      </c>
      <c r="I118">
        <v>1225.75</v>
      </c>
      <c r="J118">
        <v>0</v>
      </c>
      <c r="K118" t="s">
        <v>18</v>
      </c>
      <c r="L118">
        <v>15</v>
      </c>
      <c r="M118" t="s">
        <v>18</v>
      </c>
      <c r="N118" t="str">
        <f>_xlfn.XLOOKUP(C118,agencies!A:A,agencies!B:B)</f>
        <v>Liberty Insurance Agency</v>
      </c>
    </row>
    <row r="119" spans="1:14" x14ac:dyDescent="0.25">
      <c r="A119" t="s">
        <v>190</v>
      </c>
      <c r="B119" t="s">
        <v>191</v>
      </c>
      <c r="C119" t="s">
        <v>34</v>
      </c>
      <c r="D119" s="1">
        <v>46174</v>
      </c>
      <c r="E119">
        <v>2754.67</v>
      </c>
      <c r="F119" s="1">
        <v>46204</v>
      </c>
      <c r="G119" t="s">
        <v>25</v>
      </c>
      <c r="H119" t="s">
        <v>20</v>
      </c>
      <c r="I119">
        <v>2754.67</v>
      </c>
      <c r="J119">
        <v>0</v>
      </c>
      <c r="K119" t="s">
        <v>18</v>
      </c>
      <c r="L119">
        <v>76</v>
      </c>
      <c r="M119" t="s">
        <v>18</v>
      </c>
      <c r="N119" t="str">
        <f>_xlfn.XLOOKUP(C119,agencies!A:A,agencies!B:B)</f>
        <v>Bayview Risk Advisors</v>
      </c>
    </row>
    <row r="120" spans="1:14" x14ac:dyDescent="0.25">
      <c r="A120" t="s">
        <v>192</v>
      </c>
      <c r="B120" t="s">
        <v>191</v>
      </c>
      <c r="C120" t="s">
        <v>34</v>
      </c>
      <c r="D120" s="1">
        <v>46204</v>
      </c>
      <c r="E120">
        <v>2754.67</v>
      </c>
      <c r="F120" s="1">
        <v>46234</v>
      </c>
      <c r="G120" t="s">
        <v>25</v>
      </c>
      <c r="H120" t="s">
        <v>26</v>
      </c>
      <c r="I120">
        <v>2317.5500000000002</v>
      </c>
      <c r="J120">
        <v>437.12</v>
      </c>
      <c r="K120" t="s">
        <v>27</v>
      </c>
      <c r="L120">
        <v>46</v>
      </c>
      <c r="M120" t="s">
        <v>51</v>
      </c>
      <c r="N120" t="str">
        <f>_xlfn.XLOOKUP(C120,agencies!A:A,agencies!B:B)</f>
        <v>Bayview Risk Advisors</v>
      </c>
    </row>
    <row r="121" spans="1:14" x14ac:dyDescent="0.25">
      <c r="A121" t="s">
        <v>193</v>
      </c>
      <c r="B121" t="s">
        <v>191</v>
      </c>
      <c r="C121" t="s">
        <v>34</v>
      </c>
      <c r="D121" s="1">
        <v>46235</v>
      </c>
      <c r="E121">
        <v>2754.67</v>
      </c>
      <c r="F121" s="1">
        <v>46265</v>
      </c>
      <c r="G121" t="s">
        <v>25</v>
      </c>
      <c r="H121" t="s">
        <v>20</v>
      </c>
      <c r="I121">
        <v>2754.67</v>
      </c>
      <c r="J121">
        <v>0</v>
      </c>
      <c r="K121" t="s">
        <v>18</v>
      </c>
      <c r="L121">
        <v>15</v>
      </c>
      <c r="M121" t="s">
        <v>18</v>
      </c>
      <c r="N121" t="str">
        <f>_xlfn.XLOOKUP(C121,agencies!A:A,agencies!B:B)</f>
        <v>Bayview Risk Advisors</v>
      </c>
    </row>
    <row r="122" spans="1:14" x14ac:dyDescent="0.25">
      <c r="A122" t="s">
        <v>194</v>
      </c>
      <c r="B122" t="s">
        <v>195</v>
      </c>
      <c r="C122" t="s">
        <v>102</v>
      </c>
      <c r="D122" s="1">
        <v>46174</v>
      </c>
      <c r="E122">
        <v>1185.42</v>
      </c>
      <c r="F122" s="1">
        <v>46204</v>
      </c>
      <c r="G122" t="s">
        <v>16</v>
      </c>
      <c r="H122" t="s">
        <v>20</v>
      </c>
      <c r="I122">
        <v>1185.42</v>
      </c>
      <c r="J122">
        <v>0</v>
      </c>
      <c r="K122" t="s">
        <v>18</v>
      </c>
      <c r="L122">
        <v>76</v>
      </c>
      <c r="M122" t="s">
        <v>18</v>
      </c>
      <c r="N122" t="str">
        <f>_xlfn.XLOOKUP(C122,agencies!A:A,agencies!B:B)</f>
        <v>Harbor Risk Advisors</v>
      </c>
    </row>
    <row r="123" spans="1:14" x14ac:dyDescent="0.25">
      <c r="A123" t="s">
        <v>196</v>
      </c>
      <c r="B123" t="s">
        <v>195</v>
      </c>
      <c r="C123" t="s">
        <v>102</v>
      </c>
      <c r="D123" s="1">
        <v>46204</v>
      </c>
      <c r="E123">
        <v>1185.42</v>
      </c>
      <c r="F123" s="1">
        <v>46234</v>
      </c>
      <c r="G123" t="s">
        <v>16</v>
      </c>
      <c r="H123" t="s">
        <v>20</v>
      </c>
      <c r="I123">
        <v>1185.42</v>
      </c>
      <c r="J123">
        <v>0</v>
      </c>
      <c r="K123" t="s">
        <v>18</v>
      </c>
      <c r="L123">
        <v>46</v>
      </c>
      <c r="M123" t="s">
        <v>18</v>
      </c>
      <c r="N123" t="str">
        <f>_xlfn.XLOOKUP(C123,agencies!A:A,agencies!B:B)</f>
        <v>Harbor Risk Advisors</v>
      </c>
    </row>
    <row r="124" spans="1:14" x14ac:dyDescent="0.25">
      <c r="A124" t="s">
        <v>197</v>
      </c>
      <c r="B124" t="s">
        <v>195</v>
      </c>
      <c r="C124" t="s">
        <v>102</v>
      </c>
      <c r="D124" s="1">
        <v>46235</v>
      </c>
      <c r="E124">
        <v>1185.42</v>
      </c>
      <c r="F124" s="1">
        <v>46265</v>
      </c>
      <c r="G124" t="s">
        <v>16</v>
      </c>
      <c r="H124" t="s">
        <v>20</v>
      </c>
      <c r="I124">
        <v>1185.42</v>
      </c>
      <c r="J124">
        <v>0</v>
      </c>
      <c r="K124" t="s">
        <v>18</v>
      </c>
      <c r="L124">
        <v>15</v>
      </c>
      <c r="M124" t="s">
        <v>18</v>
      </c>
      <c r="N124" t="str">
        <f>_xlfn.XLOOKUP(C124,agencies!A:A,agencies!B:B)</f>
        <v>Harbor Risk Advisors</v>
      </c>
    </row>
    <row r="125" spans="1:14" x14ac:dyDescent="0.25">
      <c r="A125" t="s">
        <v>198</v>
      </c>
      <c r="B125" t="s">
        <v>199</v>
      </c>
      <c r="C125" t="s">
        <v>24</v>
      </c>
      <c r="D125" s="1">
        <v>46174</v>
      </c>
      <c r="E125">
        <v>3633.42</v>
      </c>
      <c r="F125" s="1">
        <v>46204</v>
      </c>
      <c r="G125" t="s">
        <v>25</v>
      </c>
      <c r="H125" t="s">
        <v>26</v>
      </c>
      <c r="I125">
        <v>2494.15</v>
      </c>
      <c r="J125">
        <v>1139.27</v>
      </c>
      <c r="K125" t="s">
        <v>27</v>
      </c>
      <c r="L125">
        <v>76</v>
      </c>
      <c r="M125" t="s">
        <v>28</v>
      </c>
      <c r="N125" t="str">
        <f>_xlfn.XLOOKUP(C125,agencies!A:A,agencies!B:B)</f>
        <v>Ironwood Insurance Agency</v>
      </c>
    </row>
    <row r="126" spans="1:14" x14ac:dyDescent="0.25">
      <c r="A126" t="s">
        <v>200</v>
      </c>
      <c r="B126" t="s">
        <v>199</v>
      </c>
      <c r="C126" t="s">
        <v>24</v>
      </c>
      <c r="D126" s="1">
        <v>46204</v>
      </c>
      <c r="E126">
        <v>3633.42</v>
      </c>
      <c r="F126" s="1">
        <v>46234</v>
      </c>
      <c r="G126" t="s">
        <v>25</v>
      </c>
      <c r="H126" t="s">
        <v>20</v>
      </c>
      <c r="I126">
        <v>3633.42</v>
      </c>
      <c r="J126">
        <v>0</v>
      </c>
      <c r="K126" t="s">
        <v>18</v>
      </c>
      <c r="L126">
        <v>46</v>
      </c>
      <c r="M126" t="s">
        <v>18</v>
      </c>
      <c r="N126" t="str">
        <f>_xlfn.XLOOKUP(C126,agencies!A:A,agencies!B:B)</f>
        <v>Ironwood Insurance Agency</v>
      </c>
    </row>
    <row r="127" spans="1:14" x14ac:dyDescent="0.25">
      <c r="A127" t="s">
        <v>201</v>
      </c>
      <c r="B127" t="s">
        <v>199</v>
      </c>
      <c r="C127" t="s">
        <v>24</v>
      </c>
      <c r="D127" s="1">
        <v>46235</v>
      </c>
      <c r="E127">
        <v>3633.42</v>
      </c>
      <c r="F127" s="1">
        <v>46265</v>
      </c>
      <c r="G127" t="s">
        <v>25</v>
      </c>
      <c r="H127" t="s">
        <v>26</v>
      </c>
      <c r="I127">
        <v>2400.6799999999998</v>
      </c>
      <c r="J127">
        <v>1232.74</v>
      </c>
      <c r="K127" t="s">
        <v>27</v>
      </c>
      <c r="L127">
        <v>15</v>
      </c>
      <c r="M127" t="s">
        <v>31</v>
      </c>
      <c r="N127" t="str">
        <f>_xlfn.XLOOKUP(C127,agencies!A:A,agencies!B:B)</f>
        <v>Ironwood Insurance Agency</v>
      </c>
    </row>
    <row r="128" spans="1:14" x14ac:dyDescent="0.25">
      <c r="A128" t="s">
        <v>202</v>
      </c>
      <c r="B128" t="s">
        <v>203</v>
      </c>
      <c r="C128" t="s">
        <v>24</v>
      </c>
      <c r="D128" s="1">
        <v>46174</v>
      </c>
      <c r="E128">
        <v>2507.67</v>
      </c>
      <c r="F128" s="1">
        <v>46204</v>
      </c>
      <c r="G128" t="s">
        <v>25</v>
      </c>
      <c r="H128" t="s">
        <v>20</v>
      </c>
      <c r="I128">
        <v>2507.67</v>
      </c>
      <c r="J128">
        <v>0</v>
      </c>
      <c r="K128" t="s">
        <v>18</v>
      </c>
      <c r="L128">
        <v>76</v>
      </c>
      <c r="M128" t="s">
        <v>18</v>
      </c>
      <c r="N128" t="str">
        <f>_xlfn.XLOOKUP(C128,agencies!A:A,agencies!B:B)</f>
        <v>Ironwood Insurance Agency</v>
      </c>
    </row>
    <row r="129" spans="1:14" x14ac:dyDescent="0.25">
      <c r="A129" t="s">
        <v>204</v>
      </c>
      <c r="B129" t="s">
        <v>203</v>
      </c>
      <c r="C129" t="s">
        <v>24</v>
      </c>
      <c r="D129" s="1">
        <v>46204</v>
      </c>
      <c r="E129">
        <v>2507.67</v>
      </c>
      <c r="F129" s="1">
        <v>46234</v>
      </c>
      <c r="G129" t="s">
        <v>25</v>
      </c>
      <c r="H129" t="s">
        <v>17</v>
      </c>
      <c r="I129">
        <v>2507.67</v>
      </c>
      <c r="J129">
        <v>0</v>
      </c>
      <c r="K129" t="s">
        <v>18</v>
      </c>
      <c r="L129">
        <v>46</v>
      </c>
      <c r="M129" t="s">
        <v>18</v>
      </c>
      <c r="N129" t="str">
        <f>_xlfn.XLOOKUP(C129,agencies!A:A,agencies!B:B)</f>
        <v>Ironwood Insurance Agency</v>
      </c>
    </row>
    <row r="130" spans="1:14" x14ac:dyDescent="0.25">
      <c r="A130" t="s">
        <v>205</v>
      </c>
      <c r="B130" t="s">
        <v>203</v>
      </c>
      <c r="C130" t="s">
        <v>24</v>
      </c>
      <c r="D130" s="1">
        <v>46235</v>
      </c>
      <c r="E130">
        <v>2507.67</v>
      </c>
      <c r="F130" s="1">
        <v>46265</v>
      </c>
      <c r="G130" t="s">
        <v>25</v>
      </c>
      <c r="H130" t="s">
        <v>17</v>
      </c>
      <c r="I130">
        <v>0</v>
      </c>
      <c r="J130">
        <v>2507.67</v>
      </c>
      <c r="K130" t="s">
        <v>27</v>
      </c>
      <c r="L130">
        <v>15</v>
      </c>
      <c r="M130" t="s">
        <v>31</v>
      </c>
      <c r="N130" t="str">
        <f>_xlfn.XLOOKUP(C130,agencies!A:A,agencies!B:B)</f>
        <v>Ironwood Insurance Agency</v>
      </c>
    </row>
    <row r="131" spans="1:14" x14ac:dyDescent="0.25">
      <c r="A131" t="s">
        <v>206</v>
      </c>
      <c r="B131" t="s">
        <v>207</v>
      </c>
      <c r="C131" t="s">
        <v>119</v>
      </c>
      <c r="D131" s="1">
        <v>46174</v>
      </c>
      <c r="E131">
        <v>2214.58</v>
      </c>
      <c r="F131" s="1">
        <v>46204</v>
      </c>
      <c r="G131" t="s">
        <v>16</v>
      </c>
      <c r="H131" t="s">
        <v>20</v>
      </c>
      <c r="I131">
        <v>2214.58</v>
      </c>
      <c r="J131">
        <v>0</v>
      </c>
      <c r="K131" t="s">
        <v>18</v>
      </c>
      <c r="L131">
        <v>76</v>
      </c>
      <c r="M131" t="s">
        <v>18</v>
      </c>
      <c r="N131" t="str">
        <f>_xlfn.XLOOKUP(C131,agencies!A:A,agencies!B:B)</f>
        <v>Keystone Benefits &amp; Risk</v>
      </c>
    </row>
    <row r="132" spans="1:14" x14ac:dyDescent="0.25">
      <c r="A132" t="s">
        <v>208</v>
      </c>
      <c r="B132" t="s">
        <v>207</v>
      </c>
      <c r="C132" t="s">
        <v>119</v>
      </c>
      <c r="D132" s="1">
        <v>46204</v>
      </c>
      <c r="E132">
        <v>2214.58</v>
      </c>
      <c r="F132" s="1">
        <v>46234</v>
      </c>
      <c r="G132" t="s">
        <v>16</v>
      </c>
      <c r="H132" t="s">
        <v>20</v>
      </c>
      <c r="I132">
        <v>2214.58</v>
      </c>
      <c r="J132">
        <v>0</v>
      </c>
      <c r="K132" t="s">
        <v>18</v>
      </c>
      <c r="L132">
        <v>46</v>
      </c>
      <c r="M132" t="s">
        <v>18</v>
      </c>
      <c r="N132" t="str">
        <f>_xlfn.XLOOKUP(C132,agencies!A:A,agencies!B:B)</f>
        <v>Keystone Benefits &amp; Risk</v>
      </c>
    </row>
    <row r="133" spans="1:14" x14ac:dyDescent="0.25">
      <c r="A133" t="s">
        <v>209</v>
      </c>
      <c r="B133" t="s">
        <v>207</v>
      </c>
      <c r="C133" t="s">
        <v>119</v>
      </c>
      <c r="D133" s="1">
        <v>46235</v>
      </c>
      <c r="E133">
        <v>2214.58</v>
      </c>
      <c r="F133" s="1">
        <v>46265</v>
      </c>
      <c r="G133" t="s">
        <v>16</v>
      </c>
      <c r="H133" t="s">
        <v>20</v>
      </c>
      <c r="I133">
        <v>2214.58</v>
      </c>
      <c r="J133">
        <v>0</v>
      </c>
      <c r="K133" t="s">
        <v>18</v>
      </c>
      <c r="L133">
        <v>15</v>
      </c>
      <c r="M133" t="s">
        <v>18</v>
      </c>
      <c r="N133" t="str">
        <f>_xlfn.XLOOKUP(C133,agencies!A:A,agencies!B:B)</f>
        <v>Keystone Benefits &amp; Risk</v>
      </c>
    </row>
    <row r="134" spans="1:14" x14ac:dyDescent="0.25">
      <c r="A134" t="s">
        <v>210</v>
      </c>
      <c r="B134" t="s">
        <v>211</v>
      </c>
      <c r="C134" t="s">
        <v>15</v>
      </c>
      <c r="D134" s="1">
        <v>46174</v>
      </c>
      <c r="E134">
        <v>1856.83</v>
      </c>
      <c r="F134" s="1">
        <v>46204</v>
      </c>
      <c r="G134" t="s">
        <v>16</v>
      </c>
      <c r="H134" t="s">
        <v>26</v>
      </c>
      <c r="I134">
        <v>1167.07</v>
      </c>
      <c r="J134">
        <v>689.76</v>
      </c>
      <c r="K134" t="s">
        <v>27</v>
      </c>
      <c r="L134">
        <v>76</v>
      </c>
      <c r="M134" t="s">
        <v>28</v>
      </c>
      <c r="N134" t="str">
        <f>_xlfn.XLOOKUP(C134,agencies!A:A,agencies!B:B)</f>
        <v>Summit Insurance Group</v>
      </c>
    </row>
    <row r="135" spans="1:14" x14ac:dyDescent="0.25">
      <c r="A135" t="s">
        <v>212</v>
      </c>
      <c r="B135" t="s">
        <v>211</v>
      </c>
      <c r="C135" t="s">
        <v>15</v>
      </c>
      <c r="D135" s="1">
        <v>46204</v>
      </c>
      <c r="E135">
        <v>1856.83</v>
      </c>
      <c r="F135" s="1">
        <v>46234</v>
      </c>
      <c r="G135" t="s">
        <v>16</v>
      </c>
      <c r="H135" t="s">
        <v>20</v>
      </c>
      <c r="I135">
        <v>1856.83</v>
      </c>
      <c r="J135">
        <v>0</v>
      </c>
      <c r="K135" t="s">
        <v>18</v>
      </c>
      <c r="L135">
        <v>46</v>
      </c>
      <c r="M135" t="s">
        <v>18</v>
      </c>
      <c r="N135" t="str">
        <f>_xlfn.XLOOKUP(C135,agencies!A:A,agencies!B:B)</f>
        <v>Summit Insurance Group</v>
      </c>
    </row>
    <row r="136" spans="1:14" x14ac:dyDescent="0.25">
      <c r="A136" t="s">
        <v>213</v>
      </c>
      <c r="B136" t="s">
        <v>211</v>
      </c>
      <c r="C136" t="s">
        <v>15</v>
      </c>
      <c r="D136" s="1">
        <v>46235</v>
      </c>
      <c r="E136">
        <v>1856.83</v>
      </c>
      <c r="F136" s="1">
        <v>46265</v>
      </c>
      <c r="G136" t="s">
        <v>16</v>
      </c>
      <c r="H136" t="s">
        <v>17</v>
      </c>
      <c r="I136">
        <v>0</v>
      </c>
      <c r="J136">
        <v>1856.83</v>
      </c>
      <c r="K136" t="s">
        <v>27</v>
      </c>
      <c r="L136">
        <v>15</v>
      </c>
      <c r="M136" t="s">
        <v>31</v>
      </c>
      <c r="N136" t="str">
        <f>_xlfn.XLOOKUP(C136,agencies!A:A,agencies!B:B)</f>
        <v>Summit Insurance Group</v>
      </c>
    </row>
    <row r="137" spans="1:14" x14ac:dyDescent="0.25">
      <c r="A137" t="s">
        <v>214</v>
      </c>
      <c r="B137" t="s">
        <v>215</v>
      </c>
      <c r="C137" t="s">
        <v>77</v>
      </c>
      <c r="D137" s="1">
        <v>46174</v>
      </c>
      <c r="E137">
        <v>3336.25</v>
      </c>
      <c r="F137" s="1">
        <v>46204</v>
      </c>
      <c r="G137" t="s">
        <v>49</v>
      </c>
      <c r="H137" t="s">
        <v>26</v>
      </c>
      <c r="I137">
        <v>2086.3200000000002</v>
      </c>
      <c r="J137">
        <v>1249.93</v>
      </c>
      <c r="K137" t="s">
        <v>27</v>
      </c>
      <c r="L137">
        <v>76</v>
      </c>
      <c r="M137" t="s">
        <v>28</v>
      </c>
      <c r="N137" t="str">
        <f>_xlfn.XLOOKUP(C137,agencies!A:A,agencies!B:B)</f>
        <v>Northgate Underwriters</v>
      </c>
    </row>
    <row r="138" spans="1:14" x14ac:dyDescent="0.25">
      <c r="A138" t="s">
        <v>216</v>
      </c>
      <c r="B138" t="s">
        <v>215</v>
      </c>
      <c r="C138" t="s">
        <v>77</v>
      </c>
      <c r="D138" s="1">
        <v>46204</v>
      </c>
      <c r="E138">
        <v>3336.25</v>
      </c>
      <c r="F138" s="1">
        <v>46234</v>
      </c>
      <c r="G138" t="s">
        <v>49</v>
      </c>
      <c r="H138" t="s">
        <v>17</v>
      </c>
      <c r="I138">
        <v>3336.25</v>
      </c>
      <c r="J138">
        <v>0</v>
      </c>
      <c r="K138" t="s">
        <v>18</v>
      </c>
      <c r="L138">
        <v>46</v>
      </c>
      <c r="M138" t="s">
        <v>18</v>
      </c>
      <c r="N138" t="str">
        <f>_xlfn.XLOOKUP(C138,agencies!A:A,agencies!B:B)</f>
        <v>Northgate Underwriters</v>
      </c>
    </row>
    <row r="139" spans="1:14" x14ac:dyDescent="0.25">
      <c r="A139" t="s">
        <v>217</v>
      </c>
      <c r="B139" t="s">
        <v>215</v>
      </c>
      <c r="C139" t="s">
        <v>77</v>
      </c>
      <c r="D139" s="1">
        <v>46235</v>
      </c>
      <c r="E139">
        <v>3336.25</v>
      </c>
      <c r="F139" s="1">
        <v>46265</v>
      </c>
      <c r="G139" t="s">
        <v>49</v>
      </c>
      <c r="H139" t="s">
        <v>26</v>
      </c>
      <c r="I139">
        <v>0</v>
      </c>
      <c r="J139">
        <v>3336.25</v>
      </c>
      <c r="K139" t="s">
        <v>27</v>
      </c>
      <c r="L139">
        <v>15</v>
      </c>
      <c r="M139" t="s">
        <v>31</v>
      </c>
      <c r="N139" t="str">
        <f>_xlfn.XLOOKUP(C139,agencies!A:A,agencies!B:B)</f>
        <v>Northgate Underwriters</v>
      </c>
    </row>
    <row r="140" spans="1:14" x14ac:dyDescent="0.25">
      <c r="A140" t="s">
        <v>218</v>
      </c>
      <c r="B140" t="s">
        <v>219</v>
      </c>
      <c r="C140" t="s">
        <v>39</v>
      </c>
      <c r="D140" s="1">
        <v>46174</v>
      </c>
      <c r="E140">
        <v>2128.17</v>
      </c>
      <c r="F140" s="1">
        <v>46204</v>
      </c>
      <c r="G140" t="s">
        <v>16</v>
      </c>
      <c r="H140" t="s">
        <v>20</v>
      </c>
      <c r="I140">
        <v>2128.17</v>
      </c>
      <c r="J140">
        <v>0</v>
      </c>
      <c r="K140" t="s">
        <v>18</v>
      </c>
      <c r="L140">
        <v>76</v>
      </c>
      <c r="M140" t="s">
        <v>18</v>
      </c>
      <c r="N140" t="str">
        <f>_xlfn.XLOOKUP(C140,agencies!A:A,agencies!B:B)</f>
        <v>Pioneer Underwriters</v>
      </c>
    </row>
    <row r="141" spans="1:14" x14ac:dyDescent="0.25">
      <c r="A141" t="s">
        <v>220</v>
      </c>
      <c r="B141" t="s">
        <v>219</v>
      </c>
      <c r="C141" t="s">
        <v>39</v>
      </c>
      <c r="D141" s="1">
        <v>46204</v>
      </c>
      <c r="E141">
        <v>2128.17</v>
      </c>
      <c r="F141" s="1">
        <v>46234</v>
      </c>
      <c r="G141" t="s">
        <v>16</v>
      </c>
      <c r="H141" t="s">
        <v>20</v>
      </c>
      <c r="I141">
        <v>2128.17</v>
      </c>
      <c r="J141">
        <v>0</v>
      </c>
      <c r="K141" t="s">
        <v>18</v>
      </c>
      <c r="L141">
        <v>46</v>
      </c>
      <c r="M141" t="s">
        <v>18</v>
      </c>
      <c r="N141" t="str">
        <f>_xlfn.XLOOKUP(C141,agencies!A:A,agencies!B:B)</f>
        <v>Pioneer Underwriters</v>
      </c>
    </row>
    <row r="142" spans="1:14" x14ac:dyDescent="0.25">
      <c r="A142" t="s">
        <v>221</v>
      </c>
      <c r="B142" t="s">
        <v>219</v>
      </c>
      <c r="C142" t="s">
        <v>39</v>
      </c>
      <c r="D142" s="1">
        <v>46235</v>
      </c>
      <c r="E142">
        <v>2128.17</v>
      </c>
      <c r="F142" s="1">
        <v>46265</v>
      </c>
      <c r="G142" t="s">
        <v>16</v>
      </c>
      <c r="H142" t="s">
        <v>20</v>
      </c>
      <c r="I142">
        <v>2128.17</v>
      </c>
      <c r="J142">
        <v>0</v>
      </c>
      <c r="K142" t="s">
        <v>18</v>
      </c>
      <c r="L142">
        <v>15</v>
      </c>
      <c r="M142" t="s">
        <v>18</v>
      </c>
      <c r="N142" t="str">
        <f>_xlfn.XLOOKUP(C142,agencies!A:A,agencies!B:B)</f>
        <v>Pioneer Underwriters</v>
      </c>
    </row>
    <row r="143" spans="1:14" x14ac:dyDescent="0.25">
      <c r="A143" t="s">
        <v>222</v>
      </c>
      <c r="B143" t="s">
        <v>223</v>
      </c>
      <c r="C143" t="s">
        <v>48</v>
      </c>
      <c r="D143" s="1">
        <v>46174</v>
      </c>
      <c r="E143">
        <v>894.42</v>
      </c>
      <c r="F143" s="1">
        <v>46204</v>
      </c>
      <c r="G143" t="s">
        <v>49</v>
      </c>
      <c r="H143" t="s">
        <v>26</v>
      </c>
      <c r="I143">
        <v>695.95</v>
      </c>
      <c r="J143">
        <v>198.47</v>
      </c>
      <c r="K143" t="s">
        <v>27</v>
      </c>
      <c r="L143">
        <v>76</v>
      </c>
      <c r="M143" t="s">
        <v>28</v>
      </c>
      <c r="N143" t="str">
        <f>_xlfn.XLOOKUP(C143,agencies!A:A,agencies!B:B)</f>
        <v>Sterling Benefits &amp; Risk</v>
      </c>
    </row>
    <row r="144" spans="1:14" x14ac:dyDescent="0.25">
      <c r="A144" t="s">
        <v>224</v>
      </c>
      <c r="B144" t="s">
        <v>223</v>
      </c>
      <c r="C144" t="s">
        <v>48</v>
      </c>
      <c r="D144" s="1">
        <v>46204</v>
      </c>
      <c r="E144">
        <v>894.42</v>
      </c>
      <c r="F144" s="1">
        <v>46234</v>
      </c>
      <c r="G144" t="s">
        <v>49</v>
      </c>
      <c r="H144" t="s">
        <v>17</v>
      </c>
      <c r="I144">
        <v>894.42</v>
      </c>
      <c r="J144">
        <v>0</v>
      </c>
      <c r="K144" t="s">
        <v>18</v>
      </c>
      <c r="L144">
        <v>46</v>
      </c>
      <c r="M144" t="s">
        <v>18</v>
      </c>
      <c r="N144" t="str">
        <f>_xlfn.XLOOKUP(C144,agencies!A:A,agencies!B:B)</f>
        <v>Sterling Benefits &amp; Risk</v>
      </c>
    </row>
    <row r="145" spans="1:14" x14ac:dyDescent="0.25">
      <c r="A145" t="s">
        <v>225</v>
      </c>
      <c r="B145" t="s">
        <v>223</v>
      </c>
      <c r="C145" t="s">
        <v>48</v>
      </c>
      <c r="D145" s="1">
        <v>46235</v>
      </c>
      <c r="E145">
        <v>894.42</v>
      </c>
      <c r="F145" s="1">
        <v>46265</v>
      </c>
      <c r="G145" t="s">
        <v>49</v>
      </c>
      <c r="H145" t="s">
        <v>17</v>
      </c>
      <c r="I145">
        <v>0</v>
      </c>
      <c r="J145">
        <v>894.42</v>
      </c>
      <c r="K145" t="s">
        <v>27</v>
      </c>
      <c r="L145">
        <v>15</v>
      </c>
      <c r="M145" t="s">
        <v>31</v>
      </c>
      <c r="N145" t="str">
        <f>_xlfn.XLOOKUP(C145,agencies!A:A,agencies!B:B)</f>
        <v>Sterling Benefits &amp; Risk</v>
      </c>
    </row>
    <row r="146" spans="1:14" x14ac:dyDescent="0.25">
      <c r="A146" t="s">
        <v>226</v>
      </c>
      <c r="B146" t="s">
        <v>227</v>
      </c>
      <c r="C146" t="s">
        <v>34</v>
      </c>
      <c r="D146" s="1">
        <v>46174</v>
      </c>
      <c r="E146">
        <v>1031</v>
      </c>
      <c r="F146" s="1">
        <v>46204</v>
      </c>
      <c r="G146" t="s">
        <v>25</v>
      </c>
      <c r="H146" t="s">
        <v>17</v>
      </c>
      <c r="I146">
        <v>1031</v>
      </c>
      <c r="J146">
        <v>0</v>
      </c>
      <c r="K146" t="s">
        <v>18</v>
      </c>
      <c r="L146">
        <v>76</v>
      </c>
      <c r="M146" t="s">
        <v>18</v>
      </c>
      <c r="N146" t="str">
        <f>_xlfn.XLOOKUP(C146,agencies!A:A,agencies!B:B)</f>
        <v>Bayview Risk Advisors</v>
      </c>
    </row>
    <row r="147" spans="1:14" x14ac:dyDescent="0.25">
      <c r="A147" t="s">
        <v>228</v>
      </c>
      <c r="B147" t="s">
        <v>227</v>
      </c>
      <c r="C147" t="s">
        <v>34</v>
      </c>
      <c r="D147" s="1">
        <v>46204</v>
      </c>
      <c r="E147">
        <v>1031</v>
      </c>
      <c r="F147" s="1">
        <v>46234</v>
      </c>
      <c r="G147" t="s">
        <v>25</v>
      </c>
      <c r="H147" t="s">
        <v>17</v>
      </c>
      <c r="I147">
        <v>0</v>
      </c>
      <c r="J147">
        <v>1031</v>
      </c>
      <c r="K147" t="s">
        <v>27</v>
      </c>
      <c r="L147">
        <v>46</v>
      </c>
      <c r="M147" t="s">
        <v>51</v>
      </c>
      <c r="N147" t="str">
        <f>_xlfn.XLOOKUP(C147,agencies!A:A,agencies!B:B)</f>
        <v>Bayview Risk Advisors</v>
      </c>
    </row>
    <row r="148" spans="1:14" x14ac:dyDescent="0.25">
      <c r="A148" t="s">
        <v>229</v>
      </c>
      <c r="B148" t="s">
        <v>227</v>
      </c>
      <c r="C148" t="s">
        <v>34</v>
      </c>
      <c r="D148" s="1">
        <v>46235</v>
      </c>
      <c r="E148">
        <v>1031</v>
      </c>
      <c r="F148" s="1">
        <v>46265</v>
      </c>
      <c r="G148" t="s">
        <v>25</v>
      </c>
      <c r="H148" t="s">
        <v>17</v>
      </c>
      <c r="I148">
        <v>0</v>
      </c>
      <c r="J148">
        <v>1031</v>
      </c>
      <c r="K148" t="s">
        <v>27</v>
      </c>
      <c r="L148">
        <v>15</v>
      </c>
      <c r="M148" t="s">
        <v>31</v>
      </c>
      <c r="N148" t="str">
        <f>_xlfn.XLOOKUP(C148,agencies!A:A,agencies!B:B)</f>
        <v>Bayview Risk Advisors</v>
      </c>
    </row>
    <row r="149" spans="1:14" x14ac:dyDescent="0.25">
      <c r="A149" t="s">
        <v>230</v>
      </c>
      <c r="B149" t="s">
        <v>231</v>
      </c>
      <c r="C149" t="s">
        <v>24</v>
      </c>
      <c r="D149" s="1">
        <v>46174</v>
      </c>
      <c r="E149">
        <v>4828.5</v>
      </c>
      <c r="F149" s="1">
        <v>46204</v>
      </c>
      <c r="G149" t="s">
        <v>25</v>
      </c>
      <c r="H149" t="s">
        <v>17</v>
      </c>
      <c r="I149">
        <v>4828.5</v>
      </c>
      <c r="J149">
        <v>0</v>
      </c>
      <c r="K149" t="s">
        <v>18</v>
      </c>
      <c r="L149">
        <v>76</v>
      </c>
      <c r="M149" t="s">
        <v>18</v>
      </c>
      <c r="N149" t="str">
        <f>_xlfn.XLOOKUP(C149,agencies!A:A,agencies!B:B)</f>
        <v>Ironwood Insurance Agency</v>
      </c>
    </row>
    <row r="150" spans="1:14" x14ac:dyDescent="0.25">
      <c r="A150" t="s">
        <v>232</v>
      </c>
      <c r="B150" t="s">
        <v>231</v>
      </c>
      <c r="C150" t="s">
        <v>24</v>
      </c>
      <c r="D150" s="1">
        <v>46204</v>
      </c>
      <c r="E150">
        <v>4828.5</v>
      </c>
      <c r="F150" s="1">
        <v>46234</v>
      </c>
      <c r="G150" t="s">
        <v>25</v>
      </c>
      <c r="H150" t="s">
        <v>20</v>
      </c>
      <c r="I150">
        <v>4828.5</v>
      </c>
      <c r="J150">
        <v>0</v>
      </c>
      <c r="K150" t="s">
        <v>18</v>
      </c>
      <c r="L150">
        <v>46</v>
      </c>
      <c r="M150" t="s">
        <v>18</v>
      </c>
      <c r="N150" t="str">
        <f>_xlfn.XLOOKUP(C150,agencies!A:A,agencies!B:B)</f>
        <v>Ironwood Insurance Agency</v>
      </c>
    </row>
    <row r="151" spans="1:14" x14ac:dyDescent="0.25">
      <c r="A151" t="s">
        <v>233</v>
      </c>
      <c r="B151" t="s">
        <v>231</v>
      </c>
      <c r="C151" t="s">
        <v>24</v>
      </c>
      <c r="D151" s="1">
        <v>46235</v>
      </c>
      <c r="E151">
        <v>4828.5</v>
      </c>
      <c r="F151" s="1">
        <v>46265</v>
      </c>
      <c r="G151" t="s">
        <v>25</v>
      </c>
      <c r="H151" t="s">
        <v>17</v>
      </c>
      <c r="I151">
        <v>0</v>
      </c>
      <c r="J151">
        <v>4828.5</v>
      </c>
      <c r="K151" t="s">
        <v>27</v>
      </c>
      <c r="L151">
        <v>15</v>
      </c>
      <c r="M151" t="s">
        <v>31</v>
      </c>
      <c r="N151" t="str">
        <f>_xlfn.XLOOKUP(C151,agencies!A:A,agencies!B:B)</f>
        <v>Ironwood Insurance Agency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CDD04-F889-4599-BC2B-BADF3AAD6522}">
  <dimension ref="A1:C11"/>
  <sheetViews>
    <sheetView workbookViewId="0">
      <selection activeCell="I12" sqref="I12"/>
    </sheetView>
  </sheetViews>
  <sheetFormatPr defaultRowHeight="15" x14ac:dyDescent="0.25"/>
  <cols>
    <col min="1" max="1" width="12.5703125" customWidth="1"/>
    <col min="2" max="2" width="25.28515625" customWidth="1"/>
    <col min="3" max="3" width="16" customWidth="1"/>
    <col min="4" max="4" width="8.28515625" customWidth="1"/>
    <col min="5" max="5" width="7.5703125" customWidth="1"/>
  </cols>
  <sheetData>
    <row r="1" spans="1:3" x14ac:dyDescent="0.25">
      <c r="A1" t="s">
        <v>2</v>
      </c>
      <c r="B1" t="s">
        <v>234</v>
      </c>
      <c r="C1" t="s">
        <v>235</v>
      </c>
    </row>
    <row r="2" spans="1:3" x14ac:dyDescent="0.25">
      <c r="A2" t="s">
        <v>15</v>
      </c>
      <c r="B2" t="s">
        <v>236</v>
      </c>
      <c r="C2" t="s">
        <v>16</v>
      </c>
    </row>
    <row r="3" spans="1:3" x14ac:dyDescent="0.25">
      <c r="A3" t="s">
        <v>102</v>
      </c>
      <c r="B3" t="s">
        <v>237</v>
      </c>
      <c r="C3" t="s">
        <v>16</v>
      </c>
    </row>
    <row r="4" spans="1:3" x14ac:dyDescent="0.25">
      <c r="A4" t="s">
        <v>63</v>
      </c>
      <c r="B4" t="s">
        <v>238</v>
      </c>
      <c r="C4" t="s">
        <v>16</v>
      </c>
    </row>
    <row r="5" spans="1:3" x14ac:dyDescent="0.25">
      <c r="A5" t="s">
        <v>119</v>
      </c>
      <c r="B5" t="s">
        <v>239</v>
      </c>
      <c r="C5" t="s">
        <v>16</v>
      </c>
    </row>
    <row r="6" spans="1:3" x14ac:dyDescent="0.25">
      <c r="A6" t="s">
        <v>39</v>
      </c>
      <c r="B6" t="s">
        <v>240</v>
      </c>
      <c r="C6" t="s">
        <v>16</v>
      </c>
    </row>
    <row r="7" spans="1:3" x14ac:dyDescent="0.25">
      <c r="A7" t="s">
        <v>72</v>
      </c>
      <c r="B7" t="s">
        <v>241</v>
      </c>
      <c r="C7" t="s">
        <v>25</v>
      </c>
    </row>
    <row r="8" spans="1:3" x14ac:dyDescent="0.25">
      <c r="A8" t="s">
        <v>34</v>
      </c>
      <c r="B8" t="s">
        <v>242</v>
      </c>
      <c r="C8" t="s">
        <v>25</v>
      </c>
    </row>
    <row r="9" spans="1:3" x14ac:dyDescent="0.25">
      <c r="A9" t="s">
        <v>24</v>
      </c>
      <c r="B9" t="s">
        <v>243</v>
      </c>
      <c r="C9" t="s">
        <v>25</v>
      </c>
    </row>
    <row r="10" spans="1:3" x14ac:dyDescent="0.25">
      <c r="A10" t="s">
        <v>48</v>
      </c>
      <c r="B10" t="s">
        <v>244</v>
      </c>
      <c r="C10" t="s">
        <v>49</v>
      </c>
    </row>
    <row r="11" spans="1:3" x14ac:dyDescent="0.25">
      <c r="A11" t="s">
        <v>77</v>
      </c>
      <c r="B11" t="s">
        <v>245</v>
      </c>
      <c r="C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Aging Summary</vt:lpstr>
      <vt:lpstr>reconciliation</vt:lpstr>
      <vt:lpstr>agencies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tabidi</dc:creator>
  <cp:lastModifiedBy>ayman tabidi</cp:lastModifiedBy>
  <dcterms:created xsi:type="dcterms:W3CDTF">2026-09-18T20:38:33Z</dcterms:created>
  <dcterms:modified xsi:type="dcterms:W3CDTF">2026-09-18T20:48:47Z</dcterms:modified>
</cp:coreProperties>
</file>